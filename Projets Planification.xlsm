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Github\Projet-Groupe-Systeme\"/>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D8" i="1" l="1"/>
  <c r="U51" i="1"/>
  <c r="U32" i="1"/>
  <c r="U34" i="1"/>
  <c r="J7" i="1" l="1"/>
  <c r="B48" i="1"/>
  <c r="B46" i="1"/>
  <c r="B44" i="1"/>
  <c r="B42" i="1"/>
  <c r="B32" i="1" l="1"/>
  <c r="B4" i="6" l="1"/>
  <c r="B5" i="6"/>
  <c r="U94" i="1"/>
  <c r="U90" i="1" s="1"/>
  <c r="U96" i="1"/>
  <c r="U98" i="1"/>
  <c r="U100" i="1"/>
  <c r="U102" i="1"/>
  <c r="U104" i="1"/>
  <c r="U106" i="1"/>
  <c r="U108" i="1"/>
  <c r="U92" i="1"/>
  <c r="T5" i="1"/>
  <c r="T6" i="1"/>
  <c r="T7" i="1"/>
  <c r="T8" i="1"/>
  <c r="R5" i="1"/>
  <c r="R6" i="1"/>
  <c r="R7" i="1"/>
  <c r="R8" i="1"/>
  <c r="P5" i="1"/>
  <c r="P6" i="1"/>
  <c r="P7" i="1"/>
  <c r="P8" i="1"/>
  <c r="N5" i="1"/>
  <c r="N6" i="1"/>
  <c r="N7" i="1"/>
  <c r="N8" i="1"/>
  <c r="L5" i="1"/>
  <c r="L6" i="1"/>
  <c r="L7" i="1"/>
  <c r="L8" i="1"/>
  <c r="J5" i="1"/>
  <c r="J6" i="1"/>
  <c r="J8" i="1"/>
  <c r="D4" i="1"/>
  <c r="F5" i="1"/>
  <c r="F6" i="1"/>
  <c r="F7" i="1"/>
  <c r="F8" i="1"/>
  <c r="H5" i="1"/>
  <c r="H6" i="1"/>
  <c r="H7" i="1"/>
  <c r="H8" i="1"/>
  <c r="D7"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E1" i="6" l="1"/>
  <c r="B94" i="1" l="1"/>
  <c r="B92" i="1"/>
  <c r="B76" i="1"/>
  <c r="B74" i="1"/>
  <c r="B60" i="1"/>
  <c r="B58" i="1"/>
  <c r="B56" i="1"/>
  <c r="B54" i="1"/>
  <c r="B52" i="1"/>
  <c r="B38" i="1"/>
  <c r="B36" i="1"/>
  <c r="B34"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7" i="1" l="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F75" i="1"/>
  <c r="D61" i="1"/>
  <c r="D101" i="1"/>
  <c r="F21" i="1"/>
  <c r="D79" i="1"/>
  <c r="F57" i="1"/>
  <c r="F87" i="1"/>
  <c r="D17" i="1"/>
  <c r="F19" i="1"/>
  <c r="N107" i="1"/>
  <c r="J109" i="1"/>
  <c r="N103" i="1"/>
  <c r="H107" i="1"/>
  <c r="P103" i="1"/>
  <c r="D105" i="1"/>
  <c r="F81" i="1"/>
  <c r="D89" i="1"/>
  <c r="D49" i="1"/>
  <c r="F43" i="1"/>
  <c r="F23" i="1"/>
  <c r="D29" i="1"/>
  <c r="F39" i="1"/>
  <c r="F61" i="1"/>
  <c r="F99"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F97" i="1"/>
  <c r="D55" i="1"/>
  <c r="D99" i="1"/>
  <c r="D15" i="1"/>
  <c r="D57" i="1"/>
  <c r="F13" i="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89" i="1"/>
  <c r="J43" i="1"/>
  <c r="J25" i="1"/>
  <c r="J17" i="1"/>
  <c r="J37" i="1"/>
  <c r="J21" i="1"/>
  <c r="J99" i="1"/>
  <c r="J85" i="1"/>
  <c r="J49" i="1"/>
  <c r="J27" i="1"/>
  <c r="J41" i="1"/>
  <c r="J15" i="1"/>
  <c r="J29" i="1"/>
  <c r="J65" i="1"/>
  <c r="J87" i="1"/>
  <c r="J45" i="1"/>
  <c r="J35" i="1"/>
  <c r="J63" i="1"/>
  <c r="J19" i="1"/>
  <c r="L85" i="1"/>
  <c r="L47" i="1"/>
  <c r="L63" i="1"/>
  <c r="L61" i="1"/>
  <c r="L75" i="1"/>
  <c r="L99" i="1"/>
  <c r="L21" i="1"/>
  <c r="L69" i="1"/>
  <c r="L81" i="1"/>
  <c r="L67" i="1"/>
  <c r="L23" i="1"/>
  <c r="L9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L33" i="1"/>
  <c r="T13" i="1"/>
  <c r="D73" i="1"/>
  <c r="F73" i="1"/>
  <c r="H93" i="1"/>
  <c r="L93" i="1"/>
  <c r="N93" i="1"/>
  <c r="P93" i="1"/>
  <c r="R93" i="1"/>
  <c r="T93" i="1"/>
  <c r="N13" i="1"/>
  <c r="N4" i="1" s="1"/>
  <c r="J33" i="1"/>
  <c r="R33" i="1"/>
  <c r="T33" i="1"/>
  <c r="H73" i="1"/>
  <c r="F53" i="1"/>
  <c r="T73" i="1"/>
  <c r="R53" i="1"/>
  <c r="H33" i="1"/>
  <c r="H53" i="1"/>
  <c r="N33" i="1"/>
  <c r="L13" i="1"/>
  <c r="P13" i="1"/>
  <c r="P53" i="1"/>
  <c r="P73" i="1"/>
  <c r="L73" i="1"/>
  <c r="N53" i="1"/>
  <c r="H13" i="1"/>
  <c r="D53" i="1"/>
  <c r="D6" i="1" s="1"/>
  <c r="J4" i="1"/>
  <c r="R73" i="1"/>
  <c r="J53" i="1"/>
  <c r="T53" i="1"/>
  <c r="P33" i="1"/>
  <c r="P4" i="1" l="1"/>
  <c r="H4" i="1"/>
  <c r="R4" i="1"/>
  <c r="L4" i="1"/>
  <c r="D5" i="1"/>
  <c r="B5" i="1" s="1"/>
  <c r="F4" i="1"/>
  <c r="T4" i="1"/>
  <c r="U81" i="1"/>
  <c r="U95" i="1"/>
  <c r="U23" i="1"/>
  <c r="U27" i="1"/>
  <c r="U87" i="1"/>
  <c r="U99" i="1"/>
  <c r="U45" i="1"/>
  <c r="U67" i="1"/>
  <c r="U83" i="1"/>
  <c r="U47" i="1"/>
  <c r="U109" i="1"/>
  <c r="U49" i="1"/>
  <c r="U97" i="1"/>
  <c r="U25" i="1"/>
  <c r="U89" i="1"/>
  <c r="U65" i="1"/>
  <c r="U85" i="1"/>
  <c r="U107" i="1"/>
  <c r="U69" i="1"/>
  <c r="U63" i="1"/>
  <c r="U103" i="1"/>
  <c r="U29" i="1"/>
  <c r="U105" i="1"/>
  <c r="U43" i="1"/>
  <c r="U101" i="1"/>
  <c r="U21" i="1"/>
  <c r="U17" i="1"/>
  <c r="U33" i="1"/>
  <c r="U19" i="1"/>
  <c r="U15" i="1"/>
  <c r="U93" i="1"/>
  <c r="B4" i="1" l="1"/>
  <c r="B6" i="1"/>
  <c r="B8" i="1"/>
  <c r="U55" i="1"/>
  <c r="U77" i="1"/>
  <c r="U39" i="1"/>
  <c r="U41" i="1" l="1"/>
  <c r="U53" i="1"/>
  <c r="U75" i="1"/>
  <c r="U73" i="1"/>
  <c r="U61" i="1"/>
  <c r="U57" i="1"/>
  <c r="U79" i="1"/>
  <c r="U37" i="1"/>
  <c r="U35" i="1"/>
  <c r="U13" i="1"/>
  <c r="U59" i="1"/>
  <c r="U11" i="1" l="1"/>
  <c r="U31" i="1"/>
  <c r="U71" i="1"/>
  <c r="U91" i="1"/>
</calcChain>
</file>

<file path=xl/sharedStrings.xml><?xml version="1.0" encoding="utf-8"?>
<sst xmlns="http://schemas.openxmlformats.org/spreadsheetml/2006/main" count="100" uniqueCount="87">
  <si>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</si>
  <si>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</si>
  <si>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</si>
  <si>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</si>
  <si>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</si>
  <si>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</si>
  <si>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</si>
  <si>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</si>
  <si>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</si>
  <si>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</si>
  <si>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</si>
  <si>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</si>
  <si>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</si>
  <si>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</si>
  <si>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</si>
  <si>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</si>
  <si>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</si>
  <si>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</si>
  <si>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</si>
  <si>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</si>
  <si>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</si>
  <si>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</si>
  <si>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</si>
  <si>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</si>
  <si>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</si>
  <si>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</si>
  <si>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</si>
  <si>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</si>
  <si>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</si>
  <si>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</si>
  <si>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</si>
  <si>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</si>
  <si>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</si>
  <si>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</si>
  <si>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</si>
  <si>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</si>
  <si>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</si>
  <si>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</si>
  <si>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</si>
  <si>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</si>
  <si>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</si>
  <si>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11 Inventaire</t>
  </si>
  <si>
    <t>12 -</t>
  </si>
  <si>
    <t>13 -</t>
  </si>
  <si>
    <t>14 -</t>
  </si>
  <si>
    <t>24 -</t>
  </si>
  <si>
    <t>25 -</t>
  </si>
  <si>
    <t>33 -</t>
  </si>
  <si>
    <t>34 -</t>
  </si>
  <si>
    <t>35 -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</si>
  <si>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</si>
  <si>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</si>
  <si>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</si>
  <si>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</si>
  <si>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</si>
  <si>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</si>
  <si>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</si>
  <si>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</si>
  <si>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</si>
  <si>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</si>
  <si>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</si>
  <si>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</si>
  <si>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</si>
  <si>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</si>
  <si>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</si>
  <si>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</si>
  <si>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</si>
  <si>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</si>
  <si>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</si>
  <si>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</si>
  <si>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</si>
  <si>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22 -calcul alimentation pour usage de panneau solaire</t>
  </si>
  <si>
    <t>Robin Gumy</t>
  </si>
  <si>
    <t>23 -recherche solution alimentation</t>
  </si>
  <si>
    <t>21 -envoie mail matériel alimentation</t>
  </si>
  <si>
    <t>3 Laptops</t>
  </si>
  <si>
    <t>4 Configuration matériel</t>
  </si>
  <si>
    <t>41 Configuration du router dlink</t>
  </si>
  <si>
    <t>31 Modification de la configuration IPv4 Laptop1</t>
  </si>
  <si>
    <t>32 Modification de la configuration IPv4 Laptop2</t>
  </si>
  <si>
    <t>Configuration du router à l'aide des laptops et test de la connection Internet avec authentification</t>
  </si>
  <si>
    <t>David, Damien et Beatriz</t>
  </si>
  <si>
    <t>42 Modification du nom et adresse IPv4 des OmniTik</t>
  </si>
  <si>
    <t>43 Modification du nom et adresse IPv4 des SXT</t>
  </si>
  <si>
    <t>52 Configuration BYOD</t>
  </si>
  <si>
    <t>10h00</t>
  </si>
  <si>
    <t>0h45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</si>
</sst>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9">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xf numFmtId="165" fontId="13" fillId="0" borderId="24" xfId="0" applyNumberFormat="1" applyFont="1" applyBorder="1" applyAlignment="1" applyProtection="1">
      <alignment horizontal="center" vertical="top" wrapText="1"/>
      <protection locked="0"/>
    </xf>
  </cellXfs>
  <cellStyles count="1">
    <cellStyle name="Normal" xfId="0" builtinId="0"/>
  </cellStyles>
  <dxfs count="266">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6" workbookViewId="0">
      <selection activeCell="J30" sqref="J30"/>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27</v>
      </c>
      <c r="B4" s="19">
        <v>44662</v>
      </c>
      <c r="C4" s="20" t="s">
        <v>29</v>
      </c>
      <c r="D4" s="21" t="s">
        <v>30</v>
      </c>
      <c r="E4" s="12"/>
      <c r="F4" s="16" t="s">
        <v>39</v>
      </c>
      <c r="G4" s="22" t="s">
        <v>41</v>
      </c>
      <c r="H4" s="12"/>
    </row>
    <row r="5" spans="1:8" x14ac:dyDescent="0.25">
      <c r="A5" s="17" t="s">
        <v>28</v>
      </c>
      <c r="B5" s="12"/>
      <c r="C5" s="20" t="s">
        <v>31</v>
      </c>
      <c r="D5" s="21" t="s">
        <v>32</v>
      </c>
      <c r="E5" s="12"/>
      <c r="F5" s="10"/>
      <c r="G5" s="23" t="s">
        <v>42</v>
      </c>
      <c r="H5" s="12"/>
    </row>
    <row r="6" spans="1:8" x14ac:dyDescent="0.25">
      <c r="A6" s="18"/>
      <c r="B6" s="12"/>
      <c r="C6" s="20" t="s">
        <v>33</v>
      </c>
      <c r="D6" s="21" t="s">
        <v>34</v>
      </c>
      <c r="E6" s="12"/>
      <c r="F6" s="10"/>
      <c r="G6" s="23" t="s">
        <v>43</v>
      </c>
      <c r="H6" s="12"/>
    </row>
    <row r="7" spans="1:8" x14ac:dyDescent="0.25">
      <c r="A7" s="12"/>
      <c r="B7" s="12"/>
      <c r="C7" s="20" t="s">
        <v>35</v>
      </c>
      <c r="D7" s="21" t="s">
        <v>36</v>
      </c>
      <c r="E7" s="12"/>
      <c r="F7" s="10"/>
      <c r="G7" s="23" t="s">
        <v>44</v>
      </c>
      <c r="H7" s="12"/>
    </row>
    <row r="8" spans="1:8" x14ac:dyDescent="0.25">
      <c r="A8" s="12"/>
      <c r="B8" s="12"/>
      <c r="C8" s="20" t="s">
        <v>37</v>
      </c>
      <c r="D8" s="21" t="s">
        <v>38</v>
      </c>
      <c r="E8" s="12"/>
      <c r="F8" s="10"/>
      <c r="G8" s="17" t="s">
        <v>21</v>
      </c>
      <c r="H8" s="12"/>
    </row>
    <row r="9" spans="1:8" x14ac:dyDescent="0.25">
      <c r="A9" s="12"/>
      <c r="B9" s="12"/>
      <c r="C9" s="12"/>
      <c r="D9" s="12"/>
      <c r="E9" s="12"/>
      <c r="F9" s="10"/>
      <c r="G9" s="17" t="s">
        <v>51</v>
      </c>
      <c r="H9" s="12"/>
    </row>
    <row r="10" spans="1:8" x14ac:dyDescent="0.25">
      <c r="A10" s="12"/>
      <c r="B10" s="12"/>
      <c r="C10" s="12"/>
      <c r="D10" s="12"/>
      <c r="E10" s="12"/>
      <c r="F10" s="10"/>
      <c r="G10" s="17" t="s">
        <v>52</v>
      </c>
      <c r="H10" s="12"/>
    </row>
    <row r="11" spans="1:8" x14ac:dyDescent="0.25">
      <c r="A11" s="12"/>
      <c r="B11" s="12"/>
      <c r="C11" s="12"/>
      <c r="D11" s="12"/>
      <c r="E11" s="12"/>
      <c r="F11" s="10"/>
      <c r="G11" s="17" t="s">
        <v>53</v>
      </c>
      <c r="H11" s="12"/>
    </row>
    <row r="12" spans="1:8" x14ac:dyDescent="0.25">
      <c r="A12" s="12"/>
      <c r="B12" s="12"/>
      <c r="C12" s="12"/>
      <c r="D12" s="12"/>
      <c r="E12" s="12"/>
      <c r="F12" s="10"/>
      <c r="G12" s="17" t="s">
        <v>54</v>
      </c>
      <c r="H12" s="12"/>
    </row>
    <row r="13" spans="1:8" x14ac:dyDescent="0.25">
      <c r="A13" s="12"/>
      <c r="B13" s="12"/>
      <c r="C13" s="12"/>
      <c r="D13" s="12"/>
      <c r="E13" s="12"/>
      <c r="F13" s="16" t="s">
        <v>40</v>
      </c>
      <c r="G13" s="16" t="s">
        <v>74</v>
      </c>
      <c r="H13" s="12"/>
    </row>
    <row r="14" spans="1:8" x14ac:dyDescent="0.25">
      <c r="A14" s="12"/>
      <c r="B14" s="12"/>
      <c r="C14" s="12"/>
      <c r="D14" s="12"/>
      <c r="E14" s="12"/>
      <c r="F14" s="10"/>
      <c r="G14" s="17" t="s">
        <v>71</v>
      </c>
      <c r="H14" s="12"/>
    </row>
    <row r="15" spans="1:8" x14ac:dyDescent="0.25">
      <c r="A15" s="12"/>
      <c r="B15" s="12"/>
      <c r="C15" s="12"/>
      <c r="D15" s="12"/>
      <c r="E15" s="12"/>
      <c r="F15" s="10"/>
      <c r="G15" s="17" t="s">
        <v>73</v>
      </c>
      <c r="H15" s="12"/>
    </row>
    <row r="16" spans="1:8" x14ac:dyDescent="0.25">
      <c r="A16" s="12"/>
      <c r="B16" s="12"/>
      <c r="C16" s="12"/>
      <c r="D16" s="12"/>
      <c r="E16" s="12"/>
      <c r="F16" s="10"/>
      <c r="G16" s="17" t="s">
        <v>45</v>
      </c>
      <c r="H16" s="12"/>
    </row>
    <row r="17" spans="1:8" x14ac:dyDescent="0.25">
      <c r="A17" s="12"/>
      <c r="B17" s="12"/>
      <c r="C17" s="12"/>
      <c r="D17" s="12"/>
      <c r="E17" s="12"/>
      <c r="F17" s="10"/>
      <c r="G17" s="17" t="s">
        <v>46</v>
      </c>
      <c r="H17" s="12"/>
    </row>
    <row r="18" spans="1:8" x14ac:dyDescent="0.25">
      <c r="A18" s="12"/>
      <c r="B18" s="12"/>
      <c r="C18" s="12"/>
      <c r="D18" s="12"/>
      <c r="E18" s="12"/>
      <c r="F18" s="10"/>
      <c r="G18" s="17" t="s">
        <v>17</v>
      </c>
      <c r="H18" s="12"/>
    </row>
    <row r="19" spans="1:8" x14ac:dyDescent="0.25">
      <c r="A19" s="12"/>
      <c r="B19" s="12"/>
      <c r="C19" s="12"/>
      <c r="D19" s="12"/>
      <c r="E19" s="12"/>
      <c r="F19" s="10"/>
      <c r="G19" s="17" t="s">
        <v>55</v>
      </c>
      <c r="H19" s="12"/>
    </row>
    <row r="20" spans="1:8" x14ac:dyDescent="0.25">
      <c r="A20" s="12"/>
      <c r="B20" s="12"/>
      <c r="C20" s="12"/>
      <c r="D20" s="12"/>
      <c r="E20" s="12"/>
      <c r="F20" s="10"/>
      <c r="G20" s="17" t="s">
        <v>56</v>
      </c>
      <c r="H20" s="12"/>
    </row>
    <row r="21" spans="1:8" x14ac:dyDescent="0.25">
      <c r="A21" s="12"/>
      <c r="B21" s="12"/>
      <c r="C21" s="12"/>
      <c r="D21" s="12"/>
      <c r="E21" s="12"/>
      <c r="F21" s="10"/>
      <c r="G21" s="17" t="s">
        <v>57</v>
      </c>
      <c r="H21" s="12"/>
    </row>
    <row r="22" spans="1:8" x14ac:dyDescent="0.25">
      <c r="A22" s="12"/>
      <c r="B22" s="12"/>
      <c r="C22" s="12"/>
      <c r="D22" s="12"/>
      <c r="E22" s="12"/>
      <c r="F22" s="11"/>
      <c r="G22" s="17" t="s">
        <v>58</v>
      </c>
      <c r="H22" s="12"/>
    </row>
    <row r="23" spans="1:8" x14ac:dyDescent="0.25">
      <c r="A23" s="12"/>
      <c r="B23" s="12"/>
      <c r="C23" s="12"/>
      <c r="D23" s="12"/>
      <c r="E23" s="12"/>
      <c r="F23" s="16" t="s">
        <v>75</v>
      </c>
      <c r="G23" s="22" t="s">
        <v>78</v>
      </c>
      <c r="H23" s="12"/>
    </row>
    <row r="24" spans="1:8" x14ac:dyDescent="0.25">
      <c r="A24" s="12"/>
      <c r="B24" s="12"/>
      <c r="C24" s="12"/>
      <c r="D24" s="12"/>
      <c r="E24" s="12"/>
      <c r="F24" s="10"/>
      <c r="G24" s="23" t="s">
        <v>79</v>
      </c>
      <c r="H24" s="12"/>
    </row>
    <row r="25" spans="1:8" x14ac:dyDescent="0.25">
      <c r="A25" s="12"/>
      <c r="B25" s="12"/>
      <c r="C25" s="12"/>
      <c r="D25" s="12"/>
      <c r="E25" s="12"/>
      <c r="F25" s="10"/>
      <c r="G25" s="23" t="s">
        <v>47</v>
      </c>
      <c r="H25" s="12"/>
    </row>
    <row r="26" spans="1:8" x14ac:dyDescent="0.25">
      <c r="A26" s="12"/>
      <c r="B26" s="12"/>
      <c r="C26" s="12"/>
      <c r="D26" s="12"/>
      <c r="E26" s="12"/>
      <c r="F26" s="10"/>
      <c r="G26" s="23" t="s">
        <v>48</v>
      </c>
      <c r="H26" s="12"/>
    </row>
    <row r="27" spans="1:8" x14ac:dyDescent="0.25">
      <c r="A27" s="12"/>
      <c r="B27" s="12"/>
      <c r="C27" s="12"/>
      <c r="D27" s="12"/>
      <c r="E27" s="12"/>
      <c r="F27" s="10"/>
      <c r="G27" s="23" t="s">
        <v>49</v>
      </c>
      <c r="H27" s="12"/>
    </row>
    <row r="28" spans="1:8" x14ac:dyDescent="0.25">
      <c r="A28" s="12"/>
      <c r="B28" s="12"/>
      <c r="C28" s="12"/>
      <c r="D28" s="12"/>
      <c r="E28" s="12"/>
      <c r="F28" s="10"/>
      <c r="G28" s="23" t="s">
        <v>22</v>
      </c>
      <c r="H28" s="12"/>
    </row>
    <row r="29" spans="1:8" x14ac:dyDescent="0.25">
      <c r="A29" s="12"/>
      <c r="B29" s="12"/>
      <c r="C29" s="12"/>
      <c r="D29" s="12"/>
      <c r="E29" s="12"/>
      <c r="F29" s="10"/>
      <c r="G29" s="23" t="s">
        <v>59</v>
      </c>
      <c r="H29" s="12"/>
    </row>
    <row r="30" spans="1:8" x14ac:dyDescent="0.25">
      <c r="A30" s="12"/>
      <c r="B30" s="12"/>
      <c r="C30" s="12"/>
      <c r="D30" s="12"/>
      <c r="E30" s="12"/>
      <c r="F30" s="10"/>
      <c r="G30" s="23" t="s">
        <v>60</v>
      </c>
      <c r="H30" s="12"/>
    </row>
    <row r="31" spans="1:8" x14ac:dyDescent="0.25">
      <c r="A31" s="12"/>
      <c r="B31" s="12"/>
      <c r="C31" s="12"/>
      <c r="D31" s="12"/>
      <c r="E31" s="12"/>
      <c r="F31" s="10"/>
      <c r="G31" s="23" t="s">
        <v>61</v>
      </c>
      <c r="H31" s="12"/>
    </row>
    <row r="32" spans="1:8" x14ac:dyDescent="0.25">
      <c r="A32" s="12"/>
      <c r="B32" s="12"/>
      <c r="C32" s="12"/>
      <c r="D32" s="12"/>
      <c r="E32" s="12"/>
      <c r="F32" s="11"/>
      <c r="G32" s="23" t="s">
        <v>62</v>
      </c>
      <c r="H32" s="12"/>
    </row>
    <row r="33" spans="1:8" x14ac:dyDescent="0.25">
      <c r="A33" s="12"/>
      <c r="B33" s="12"/>
      <c r="C33" s="12"/>
      <c r="D33" s="12"/>
      <c r="E33" s="12"/>
      <c r="F33" s="16" t="s">
        <v>76</v>
      </c>
      <c r="G33" s="16" t="s">
        <v>77</v>
      </c>
      <c r="H33" s="12"/>
    </row>
    <row r="34" spans="1:8" x14ac:dyDescent="0.25">
      <c r="A34" s="12"/>
      <c r="B34" s="12"/>
      <c r="C34" s="12"/>
      <c r="D34" s="12"/>
      <c r="E34" s="12"/>
      <c r="F34" s="10"/>
      <c r="G34" s="17" t="s">
        <v>82</v>
      </c>
      <c r="H34" s="12"/>
    </row>
    <row r="35" spans="1:8" x14ac:dyDescent="0.25">
      <c r="A35" s="12"/>
      <c r="B35" s="12"/>
      <c r="C35" s="12"/>
      <c r="D35" s="12"/>
      <c r="E35" s="12"/>
      <c r="F35" s="10"/>
      <c r="G35" s="17" t="s">
        <v>83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63</v>
      </c>
      <c r="H39" s="12"/>
    </row>
    <row r="40" spans="1:8" x14ac:dyDescent="0.25">
      <c r="A40" s="12"/>
      <c r="B40" s="12"/>
      <c r="C40" s="12"/>
      <c r="D40" s="12"/>
      <c r="E40" s="12"/>
      <c r="F40" s="10"/>
      <c r="G40" s="17" t="s">
        <v>64</v>
      </c>
      <c r="H40" s="12"/>
    </row>
    <row r="41" spans="1:8" x14ac:dyDescent="0.25">
      <c r="A41" s="12"/>
      <c r="B41" s="12"/>
      <c r="C41" s="12"/>
      <c r="D41" s="12"/>
      <c r="E41" s="12"/>
      <c r="F41" s="11"/>
      <c r="G41" s="17" t="s">
        <v>65</v>
      </c>
      <c r="H41" s="12"/>
    </row>
    <row r="42" spans="1:8" x14ac:dyDescent="0.25">
      <c r="A42" s="12"/>
      <c r="B42" s="12"/>
      <c r="C42" s="12"/>
      <c r="D42" s="12"/>
      <c r="E42" s="12"/>
      <c r="F42" s="16" t="s">
        <v>16</v>
      </c>
      <c r="G42" s="16" t="s">
        <v>50</v>
      </c>
      <c r="H42" s="12"/>
    </row>
    <row r="43" spans="1:8" x14ac:dyDescent="0.25">
      <c r="A43" s="12"/>
      <c r="B43" s="12"/>
      <c r="C43" s="12"/>
      <c r="D43" s="12"/>
      <c r="E43" s="12"/>
      <c r="F43" s="10"/>
      <c r="G43" s="17" t="s">
        <v>84</v>
      </c>
      <c r="H43" s="12"/>
    </row>
    <row r="44" spans="1:8" x14ac:dyDescent="0.25">
      <c r="A44" s="12"/>
      <c r="B44" s="12"/>
      <c r="C44" s="12"/>
      <c r="D44" s="12"/>
      <c r="E44" s="12"/>
      <c r="F44" s="10"/>
      <c r="G44" s="17" t="s">
        <v>23</v>
      </c>
      <c r="H44" s="12"/>
    </row>
    <row r="45" spans="1:8" x14ac:dyDescent="0.25">
      <c r="A45" s="12"/>
      <c r="B45" s="12"/>
      <c r="C45" s="12"/>
      <c r="D45" s="12"/>
      <c r="E45" s="12"/>
      <c r="F45" s="10"/>
      <c r="G45" s="17" t="s">
        <v>24</v>
      </c>
      <c r="H45" s="12"/>
    </row>
    <row r="46" spans="1:8" x14ac:dyDescent="0.25">
      <c r="A46" s="12"/>
      <c r="B46" s="12"/>
      <c r="C46" s="12"/>
      <c r="D46" s="12"/>
      <c r="E46" s="12"/>
      <c r="F46" s="10"/>
      <c r="G46" s="17" t="s">
        <v>25</v>
      </c>
      <c r="H46" s="12"/>
    </row>
    <row r="47" spans="1:8" x14ac:dyDescent="0.25">
      <c r="A47" s="12"/>
      <c r="B47" s="12"/>
      <c r="C47" s="12"/>
      <c r="D47" s="12"/>
      <c r="E47" s="12"/>
      <c r="F47" s="10"/>
      <c r="G47" s="17" t="s">
        <v>66</v>
      </c>
      <c r="H47" s="12"/>
    </row>
    <row r="48" spans="1:8" x14ac:dyDescent="0.25">
      <c r="A48" s="12"/>
      <c r="B48" s="12"/>
      <c r="C48" s="12"/>
      <c r="D48" s="12"/>
      <c r="E48" s="12"/>
      <c r="F48" s="10"/>
      <c r="G48" s="17" t="s">
        <v>67</v>
      </c>
      <c r="H48" s="12"/>
    </row>
    <row r="49" spans="1:8" x14ac:dyDescent="0.25">
      <c r="A49" s="12"/>
      <c r="B49" s="12"/>
      <c r="C49" s="12"/>
      <c r="D49" s="12"/>
      <c r="E49" s="12"/>
      <c r="F49" s="10"/>
      <c r="G49" s="17" t="s">
        <v>68</v>
      </c>
      <c r="H49" s="12"/>
    </row>
    <row r="50" spans="1:8" x14ac:dyDescent="0.25">
      <c r="A50" s="12"/>
      <c r="B50" s="12"/>
      <c r="C50" s="12"/>
      <c r="D50" s="12"/>
      <c r="E50" s="12"/>
      <c r="F50" s="11"/>
      <c r="G50" s="17" t="s">
        <v>69</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zoomScale="70" zoomScaleNormal="70" zoomScalePageLayoutView="70" workbookViewId="0">
      <selection activeCell="U94" sqref="U94"/>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26</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0.28472222222222227</v>
      </c>
      <c r="D3" s="1">
        <f>SUMIF($C$12:$C$10012,$C12,D$12:D$10012)</f>
        <v>0.15277777777777779</v>
      </c>
      <c r="E3" s="2"/>
      <c r="F3" s="94">
        <f t="shared" ref="F3:F8" si="0">SUMIF($C$12:$C$10012,$C12,F$12:F$10012)</f>
        <v>0</v>
      </c>
      <c r="G3" s="3"/>
      <c r="H3" s="94">
        <f t="shared" ref="H3:H8" si="1">SUMIF($C$12:$C$10012,$C12,H$12:H$10012)</f>
        <v>0</v>
      </c>
      <c r="I3" s="3"/>
      <c r="J3" s="1">
        <f>SUMIF($C$12:$C$10012,$C12,J$12:J$10012)</f>
        <v>0.11805555555555555</v>
      </c>
      <c r="K3" s="3"/>
      <c r="L3" s="1">
        <f>SUMIF($C$12:$C$10012,$C12,L$12:L$10012)</f>
        <v>1.3888888888888888E-2</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0.1076388888888889</v>
      </c>
      <c r="C4" s="28"/>
      <c r="D4" s="4">
        <f>SUMIF($C$12:$C$109,$A4,D$12:D$109)</f>
        <v>0</v>
      </c>
      <c r="E4" s="2"/>
      <c r="F4" s="95">
        <f t="shared" si="0"/>
        <v>0</v>
      </c>
      <c r="G4" s="3"/>
      <c r="H4" s="95">
        <f t="shared" si="1"/>
        <v>0</v>
      </c>
      <c r="I4" s="3"/>
      <c r="J4" s="4">
        <f>SUMIF($C$12:$C$109,$C13,J$12:J$109)</f>
        <v>0.10416666666666667</v>
      </c>
      <c r="K4" s="3"/>
      <c r="L4" s="4">
        <f>SUMIF($C$12:$C$109,$C13,L$12:L$109)</f>
        <v>3.472222222222222E-3</v>
      </c>
      <c r="M4" s="3"/>
      <c r="N4" s="4">
        <f>SUMIF($C$12:$C$109,$C13,N$12:N$109)</f>
        <v>0</v>
      </c>
      <c r="O4" s="3"/>
      <c r="P4" s="4">
        <f>SUMIF($C$12:$C$109,$C13,P$12:P$109)</f>
        <v>0</v>
      </c>
      <c r="Q4" s="3"/>
      <c r="R4" s="4">
        <f>SUMIF($C$12:$C$109,$C13,R$12:R$109)</f>
        <v>0</v>
      </c>
      <c r="S4" s="3"/>
      <c r="T4" s="4">
        <f>SUMIF($C$12:$C$109,$C13,T$12:T$109)</f>
        <v>0</v>
      </c>
    </row>
    <row r="5" spans="1:21" ht="18" customHeight="1" thickBot="1" x14ac:dyDescent="0.3">
      <c r="A5" s="75" t="str">
        <f>Base!C5</f>
        <v>Martin-Penalosa</v>
      </c>
      <c r="B5" s="76">
        <f t="shared" ref="B5:B8" si="2">SUM(D5:T5)</f>
        <v>0.13194444444444445</v>
      </c>
      <c r="C5" s="28"/>
      <c r="D5" s="4">
        <f t="shared" ref="D5:D7" si="3">SUMIF($C$12:$C$109,$A5,D$12:D$109)</f>
        <v>0</v>
      </c>
      <c r="E5" s="2"/>
      <c r="F5" s="95">
        <f t="shared" si="0"/>
        <v>0</v>
      </c>
      <c r="G5" s="3"/>
      <c r="H5" s="95">
        <f t="shared" si="1"/>
        <v>0</v>
      </c>
      <c r="I5" s="3"/>
      <c r="J5" s="4">
        <f t="shared" ref="J5:J8" si="4">SUMIF($C$12:$C$109,$C14,J$12:J$109)</f>
        <v>0.11805555555555555</v>
      </c>
      <c r="K5" s="3"/>
      <c r="L5" s="4">
        <f t="shared" ref="L5:L8" si="5">SUMIF($C$12:$C$109,$C14,L$12:L$109)</f>
        <v>1.3888888888888888E-2</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7" t="str">
        <f>Base!C6</f>
        <v>Moser</v>
      </c>
      <c r="B6" s="78">
        <f t="shared" si="2"/>
        <v>0</v>
      </c>
      <c r="C6" s="28"/>
      <c r="D6" s="4">
        <f t="shared" si="3"/>
        <v>0</v>
      </c>
      <c r="E6" s="2"/>
      <c r="F6" s="95">
        <f t="shared" si="0"/>
        <v>0</v>
      </c>
      <c r="G6" s="3"/>
      <c r="H6" s="95">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9" t="str">
        <f>Base!C7</f>
        <v>Gumy</v>
      </c>
      <c r="B7" s="80">
        <f t="shared" si="2"/>
        <v>0.13194444444444445</v>
      </c>
      <c r="C7" s="28"/>
      <c r="D7" s="4">
        <f t="shared" si="3"/>
        <v>0</v>
      </c>
      <c r="E7" s="2"/>
      <c r="F7" s="95">
        <f t="shared" si="0"/>
        <v>0</v>
      </c>
      <c r="G7" s="3"/>
      <c r="H7" s="95">
        <f t="shared" si="1"/>
        <v>0</v>
      </c>
      <c r="I7" s="3"/>
      <c r="J7" s="4">
        <f>SUMIF($C$12:$C$109,$C16,J$12:J$109)</f>
        <v>0.11805555555555555</v>
      </c>
      <c r="K7" s="3"/>
      <c r="L7" s="4">
        <f t="shared" si="5"/>
        <v>1.3888888888888888E-2</v>
      </c>
      <c r="M7" s="3"/>
      <c r="N7" s="4">
        <f t="shared" si="6"/>
        <v>0</v>
      </c>
      <c r="O7" s="3"/>
      <c r="P7" s="4">
        <f t="shared" si="7"/>
        <v>0</v>
      </c>
      <c r="Q7" s="3"/>
      <c r="R7" s="4">
        <f t="shared" si="8"/>
        <v>0</v>
      </c>
      <c r="S7" s="3"/>
      <c r="T7" s="4">
        <f t="shared" si="9"/>
        <v>0</v>
      </c>
    </row>
    <row r="8" spans="1:21" ht="18" customHeight="1" thickBot="1" x14ac:dyDescent="0.3">
      <c r="A8" s="81" t="str">
        <f>Base!C8</f>
        <v>Koetschet</v>
      </c>
      <c r="B8" s="82">
        <f t="shared" si="2"/>
        <v>8.3333333333333329E-2</v>
      </c>
      <c r="C8" s="28"/>
      <c r="D8" s="4">
        <f>SUMIF($C$12:$C$109,$A8,D$12:D$109)</f>
        <v>8.3333333333333329E-2</v>
      </c>
      <c r="E8" s="2"/>
      <c r="F8" s="95">
        <f t="shared" si="0"/>
        <v>0</v>
      </c>
      <c r="G8" s="3"/>
      <c r="H8" s="95">
        <f t="shared" si="1"/>
        <v>0</v>
      </c>
      <c r="I8" s="3"/>
      <c r="J8" s="4">
        <f t="shared" si="4"/>
        <v>0</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1.3888888888888888E-2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2.0833333333333332E-2</v>
      </c>
    </row>
    <row r="12" spans="1:21" ht="15" customHeight="1" x14ac:dyDescent="0.25">
      <c r="B12" s="9" t="str">
        <f>Base!G4</f>
        <v>11 Inventaire</v>
      </c>
      <c r="C12" s="44" t="str">
        <f>A$3</f>
        <v>Prévu</v>
      </c>
      <c r="D12" s="54"/>
      <c r="E12" s="45"/>
      <c r="F12" s="54"/>
      <c r="G12" s="45"/>
      <c r="H12" s="54"/>
      <c r="I12" s="46"/>
      <c r="J12" s="55">
        <v>1.3888888888888888E-2</v>
      </c>
      <c r="K12" s="46"/>
      <c r="L12" s="56"/>
      <c r="M12" s="45"/>
      <c r="N12" s="55"/>
      <c r="O12" s="45"/>
      <c r="P12" s="56"/>
      <c r="Q12" s="45"/>
      <c r="R12" s="56"/>
      <c r="S12" s="45"/>
      <c r="T12" s="56"/>
      <c r="U12" s="47">
        <f t="shared" ref="U12:U21" si="10">IF(SUM(D12:T12)=0,"",SUM(D12:T12))</f>
        <v>1.3888888888888888E-2</v>
      </c>
    </row>
    <row r="13" spans="1:21" ht="15" customHeight="1" thickBot="1" x14ac:dyDescent="0.3">
      <c r="B13" s="48"/>
      <c r="C13" s="96" t="str">
        <f>A$5</f>
        <v>Martin-Penalosa</v>
      </c>
      <c r="D13" s="49"/>
      <c r="E13" s="50"/>
      <c r="F13" s="49">
        <f>SUMIFS(Journal!$D$4:$D$10001,Journal!$B$4:$B$10001,F$9,Journal!$C$4:$C$10001,$B12)</f>
        <v>0</v>
      </c>
      <c r="G13" s="50"/>
      <c r="H13" s="49">
        <f>SUMIFS(Journal!$D$4:$D$10001,Journal!$B$4:$B$10001,H$9,Journal!$C$4:$C$10001,$B12)</f>
        <v>0</v>
      </c>
      <c r="I13" s="51"/>
      <c r="J13" s="49">
        <v>2.0833333333333332E-2</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10"/>
        <v>2.0833333333333332E-2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10"/>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10"/>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10"/>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10"/>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10"/>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10"/>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10"/>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10"/>
        <v/>
      </c>
    </row>
    <row r="22" spans="1:21" ht="15" customHeight="1" x14ac:dyDescent="0.25">
      <c r="B22" s="9" t="str">
        <f>Base!G9</f>
        <v xml:space="preserve">16 -                                                 </v>
      </c>
      <c r="C22" s="44" t="str">
        <f t="shared" ref="C22" si="11">A$3</f>
        <v>Prévu</v>
      </c>
      <c r="D22" s="54"/>
      <c r="E22" s="45"/>
      <c r="F22" s="54"/>
      <c r="G22" s="45"/>
      <c r="H22" s="54"/>
      <c r="I22" s="46"/>
      <c r="J22" s="55"/>
      <c r="K22" s="46"/>
      <c r="L22" s="56"/>
      <c r="M22" s="45"/>
      <c r="N22" s="55"/>
      <c r="O22" s="45"/>
      <c r="P22" s="56"/>
      <c r="Q22" s="45"/>
      <c r="R22" s="56"/>
      <c r="S22" s="45"/>
      <c r="T22" s="56"/>
      <c r="U22" s="47" t="str">
        <f t="shared" ref="U22:U29" si="12">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12"/>
        <v/>
      </c>
    </row>
    <row r="24" spans="1:21" ht="15" customHeight="1" x14ac:dyDescent="0.25">
      <c r="B24" s="9" t="str">
        <f>Base!G10</f>
        <v xml:space="preserve">17 -                                                 </v>
      </c>
      <c r="C24" s="44" t="str">
        <f t="shared" ref="C24" si="13">A$3</f>
        <v>Prévu</v>
      </c>
      <c r="D24" s="54"/>
      <c r="E24" s="45"/>
      <c r="F24" s="54"/>
      <c r="G24" s="45"/>
      <c r="H24" s="54"/>
      <c r="I24" s="46"/>
      <c r="J24" s="55"/>
      <c r="K24" s="46"/>
      <c r="L24" s="56"/>
      <c r="M24" s="45"/>
      <c r="N24" s="55"/>
      <c r="O24" s="45"/>
      <c r="P24" s="56"/>
      <c r="Q24" s="45"/>
      <c r="R24" s="56"/>
      <c r="S24" s="45"/>
      <c r="T24" s="56"/>
      <c r="U24" s="47" t="str">
        <f t="shared" si="12"/>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12"/>
        <v/>
      </c>
    </row>
    <row r="26" spans="1:21" ht="15" customHeight="1" x14ac:dyDescent="0.25">
      <c r="B26" s="9" t="str">
        <f>Base!G11</f>
        <v xml:space="preserve">18 -                                                 </v>
      </c>
      <c r="C26" s="44" t="str">
        <f t="shared" ref="C26" si="14">A$3</f>
        <v>Prévu</v>
      </c>
      <c r="D26" s="54"/>
      <c r="E26" s="45"/>
      <c r="F26" s="54"/>
      <c r="G26" s="45"/>
      <c r="H26" s="54"/>
      <c r="I26" s="46"/>
      <c r="J26" s="55"/>
      <c r="K26" s="46"/>
      <c r="L26" s="56"/>
      <c r="M26" s="45"/>
      <c r="N26" s="55"/>
      <c r="O26" s="45"/>
      <c r="P26" s="56"/>
      <c r="Q26" s="45"/>
      <c r="R26" s="56"/>
      <c r="S26" s="45"/>
      <c r="T26" s="56"/>
      <c r="U26" s="47" t="str">
        <f t="shared" si="12"/>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12"/>
        <v/>
      </c>
    </row>
    <row r="28" spans="1:21" ht="15" customHeight="1" x14ac:dyDescent="0.25">
      <c r="B28" s="9" t="str">
        <f>Base!G12</f>
        <v xml:space="preserve">19 -                                                 </v>
      </c>
      <c r="C28" s="44" t="str">
        <f t="shared" ref="C28" si="15">A$3</f>
        <v>Prévu</v>
      </c>
      <c r="D28" s="54"/>
      <c r="E28" s="45"/>
      <c r="F28" s="54"/>
      <c r="G28" s="45"/>
      <c r="H28" s="54"/>
      <c r="I28" s="46"/>
      <c r="J28" s="55"/>
      <c r="K28" s="46"/>
      <c r="L28" s="56"/>
      <c r="M28" s="45"/>
      <c r="N28" s="55"/>
      <c r="O28" s="45"/>
      <c r="P28" s="56"/>
      <c r="Q28" s="45"/>
      <c r="R28" s="56"/>
      <c r="S28" s="45"/>
      <c r="T28" s="56"/>
      <c r="U28" s="47" t="str">
        <f t="shared" si="12"/>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12"/>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6.9444444444444448E-2</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6.9444444444444448E-2</v>
      </c>
    </row>
    <row r="32" spans="1:21" ht="15" customHeight="1" x14ac:dyDescent="0.25">
      <c r="B32" s="9" t="str">
        <f>Base!G13</f>
        <v>21 -envoie mail matériel alimentation</v>
      </c>
      <c r="C32" s="44" t="str">
        <f>A$3</f>
        <v>Prévu</v>
      </c>
      <c r="D32" s="54">
        <v>6.9444444444444441E-3</v>
      </c>
      <c r="E32" s="45"/>
      <c r="F32" s="54"/>
      <c r="G32" s="45"/>
      <c r="H32" s="54"/>
      <c r="I32" s="46"/>
      <c r="J32" s="55"/>
      <c r="K32" s="46"/>
      <c r="L32" s="56"/>
      <c r="M32" s="45"/>
      <c r="N32" s="55"/>
      <c r="O32" s="45"/>
      <c r="P32" s="56"/>
      <c r="Q32" s="45"/>
      <c r="R32" s="56"/>
      <c r="S32" s="45"/>
      <c r="T32" s="56"/>
      <c r="U32" s="47">
        <f>IF(SUM(D32:T32)=0,"",SUM(D32:T32))</f>
        <v>6.9444444444444441E-3</v>
      </c>
    </row>
    <row r="33" spans="2:21" ht="15" customHeight="1" thickBot="1" x14ac:dyDescent="0.3">
      <c r="B33" s="48"/>
      <c r="C33" s="97" t="s">
        <v>72</v>
      </c>
      <c r="D33" s="49">
        <v>6.9444444444444441E-3</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f>IF(SUM(D33:T33)=0,"",SUM(D33:T33))</f>
        <v>6.9444444444444441E-3</v>
      </c>
    </row>
    <row r="34" spans="2:21" ht="15" customHeight="1" x14ac:dyDescent="0.25">
      <c r="B34" s="9" t="str">
        <f>Base!G14</f>
        <v>22 -calcul alimentation pour usage de panneau solaire</v>
      </c>
      <c r="C34" s="44" t="str">
        <f>A$3</f>
        <v>Prévu</v>
      </c>
      <c r="D34" s="54">
        <v>2.0833333333333332E-2</v>
      </c>
      <c r="E34" s="45"/>
      <c r="F34" s="54"/>
      <c r="G34" s="45"/>
      <c r="H34" s="54"/>
      <c r="I34" s="46"/>
      <c r="J34" s="55"/>
      <c r="K34" s="46"/>
      <c r="L34" s="56"/>
      <c r="M34" s="45"/>
      <c r="N34" s="55"/>
      <c r="O34" s="45"/>
      <c r="P34" s="56"/>
      <c r="Q34" s="45"/>
      <c r="R34" s="56"/>
      <c r="S34" s="45"/>
      <c r="T34" s="56"/>
      <c r="U34" s="47">
        <f>IF(SUM(D34:T34)=0,"",SUM(D34:T34))</f>
        <v>2.0833333333333332E-2</v>
      </c>
    </row>
    <row r="35" spans="2:21" ht="15" customHeight="1" thickBot="1" x14ac:dyDescent="0.3">
      <c r="B35" s="48"/>
      <c r="C35" s="97" t="s">
        <v>72</v>
      </c>
      <c r="D35" s="49">
        <v>2.0833333333333332E-2</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f t="shared" ref="U35:U41" si="16">IF(SUM(D35:T35)=0,"",SUM(D35:T35))</f>
        <v>2.0833333333333332E-2</v>
      </c>
    </row>
    <row r="36" spans="2:21" ht="15" customHeight="1" x14ac:dyDescent="0.25">
      <c r="B36" s="9" t="str">
        <f>Base!G15</f>
        <v>23 -recherche solution alimentation</v>
      </c>
      <c r="C36" s="44" t="str">
        <f>A$3</f>
        <v>Prévu</v>
      </c>
      <c r="D36" s="54">
        <v>4.1666666666666664E-2</v>
      </c>
      <c r="E36" s="45"/>
      <c r="F36" s="54"/>
      <c r="G36" s="45"/>
      <c r="H36" s="54"/>
      <c r="I36" s="46"/>
      <c r="J36" s="55"/>
      <c r="K36" s="46"/>
      <c r="L36" s="56"/>
      <c r="M36" s="45"/>
      <c r="N36" s="55"/>
      <c r="O36" s="45"/>
      <c r="P36" s="56"/>
      <c r="Q36" s="45"/>
      <c r="R36" s="56"/>
      <c r="S36" s="45"/>
      <c r="T36" s="56"/>
      <c r="U36" s="47">
        <f t="shared" si="16"/>
        <v>4.1666666666666664E-2</v>
      </c>
    </row>
    <row r="37" spans="2:21" ht="15" customHeight="1" thickBot="1" x14ac:dyDescent="0.3">
      <c r="B37" s="48"/>
      <c r="C37" s="97" t="s">
        <v>72</v>
      </c>
      <c r="D37" s="49">
        <v>4.1666666666666664E-2</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f t="shared" si="16"/>
        <v>4.1666666666666664E-2</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6"/>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6"/>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6"/>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6"/>
        <v/>
      </c>
    </row>
    <row r="42" spans="2:21" ht="15" customHeight="1" x14ac:dyDescent="0.25">
      <c r="B42" s="9" t="str">
        <f>Base!G18</f>
        <v>26 -</v>
      </c>
      <c r="C42" s="44" t="str">
        <f t="shared" ref="C42" si="17">A$3</f>
        <v>Prévu</v>
      </c>
      <c r="D42" s="54"/>
      <c r="E42" s="45"/>
      <c r="F42" s="54"/>
      <c r="G42" s="45"/>
      <c r="H42" s="54"/>
      <c r="I42" s="46"/>
      <c r="J42" s="55"/>
      <c r="K42" s="46"/>
      <c r="L42" s="56"/>
      <c r="M42" s="45"/>
      <c r="N42" s="55"/>
      <c r="O42" s="45"/>
      <c r="P42" s="56"/>
      <c r="Q42" s="45"/>
      <c r="R42" s="56"/>
      <c r="S42" s="45"/>
      <c r="T42" s="56"/>
      <c r="U42" s="47" t="str">
        <f t="shared" ref="U42:U49" si="18">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8"/>
        <v/>
      </c>
    </row>
    <row r="44" spans="2:21" ht="15" customHeight="1" x14ac:dyDescent="0.25">
      <c r="B44" s="9" t="str">
        <f>Base!G19</f>
        <v>27 -</v>
      </c>
      <c r="C44" s="44" t="str">
        <f t="shared" ref="C44" si="19">A$3</f>
        <v>Prévu</v>
      </c>
      <c r="D44" s="54"/>
      <c r="E44" s="45"/>
      <c r="F44" s="54"/>
      <c r="G44" s="45"/>
      <c r="H44" s="54"/>
      <c r="I44" s="46"/>
      <c r="J44" s="55"/>
      <c r="K44" s="46"/>
      <c r="L44" s="56"/>
      <c r="M44" s="45"/>
      <c r="N44" s="55"/>
      <c r="O44" s="45"/>
      <c r="P44" s="56"/>
      <c r="Q44" s="45"/>
      <c r="R44" s="56"/>
      <c r="S44" s="45"/>
      <c r="T44" s="56"/>
      <c r="U44" s="47" t="str">
        <f t="shared" si="18"/>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8"/>
        <v/>
      </c>
    </row>
    <row r="46" spans="2:21" ht="15" customHeight="1" x14ac:dyDescent="0.25">
      <c r="B46" s="9" t="str">
        <f>Base!G20</f>
        <v>28 -</v>
      </c>
      <c r="C46" s="44" t="str">
        <f t="shared" ref="C46" si="20">A$3</f>
        <v>Prévu</v>
      </c>
      <c r="D46" s="54"/>
      <c r="E46" s="45"/>
      <c r="F46" s="54"/>
      <c r="G46" s="45"/>
      <c r="H46" s="54"/>
      <c r="I46" s="46"/>
      <c r="J46" s="55"/>
      <c r="K46" s="46"/>
      <c r="L46" s="56"/>
      <c r="M46" s="45"/>
      <c r="N46" s="55"/>
      <c r="O46" s="45"/>
      <c r="P46" s="56"/>
      <c r="Q46" s="45"/>
      <c r="R46" s="56"/>
      <c r="S46" s="45"/>
      <c r="T46" s="56"/>
      <c r="U46" s="47" t="str">
        <f t="shared" si="18"/>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8"/>
        <v/>
      </c>
    </row>
    <row r="48" spans="2:21" ht="15" customHeight="1" x14ac:dyDescent="0.25">
      <c r="B48" s="9" t="str">
        <f>Base!G21</f>
        <v>29 -</v>
      </c>
      <c r="C48" s="44" t="str">
        <f t="shared" ref="C48" si="21">A$3</f>
        <v>Prévu</v>
      </c>
      <c r="D48" s="54"/>
      <c r="E48" s="45"/>
      <c r="F48" s="54"/>
      <c r="G48" s="45"/>
      <c r="H48" s="54"/>
      <c r="I48" s="46"/>
      <c r="J48" s="55"/>
      <c r="K48" s="46"/>
      <c r="L48" s="56"/>
      <c r="M48" s="45"/>
      <c r="N48" s="55"/>
      <c r="O48" s="45"/>
      <c r="P48" s="56"/>
      <c r="Q48" s="45"/>
      <c r="R48" s="56"/>
      <c r="S48" s="45"/>
      <c r="T48" s="56"/>
      <c r="U48" s="47" t="str">
        <f t="shared" si="18"/>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8"/>
        <v/>
      </c>
    </row>
    <row r="50" spans="1:21" ht="20.25" x14ac:dyDescent="0.25">
      <c r="A50" s="89" t="str">
        <f>Base!F23</f>
        <v>3 Laptops</v>
      </c>
      <c r="B50" s="84"/>
      <c r="C50" s="84"/>
      <c r="D50" s="85"/>
      <c r="E50" s="85"/>
      <c r="F50" s="85"/>
      <c r="G50" s="85"/>
      <c r="H50" s="85"/>
      <c r="I50" s="85"/>
      <c r="J50" s="85"/>
      <c r="K50" s="85"/>
      <c r="L50" s="85"/>
      <c r="M50" s="85"/>
      <c r="N50" s="85"/>
      <c r="O50" s="85"/>
      <c r="P50" s="85"/>
      <c r="Q50" s="85"/>
      <c r="R50" s="85"/>
      <c r="S50" s="85"/>
      <c r="T50" s="85"/>
      <c r="U50" s="42">
        <f>SUMIF($C52:$C69,$C52,U52:U69)</f>
        <v>1.3888888888888888E-2</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3.472222222222222E-3</v>
      </c>
    </row>
    <row r="52" spans="1:21" s="53" customFormat="1" ht="15" customHeight="1" x14ac:dyDescent="0.25">
      <c r="B52" s="9" t="str">
        <f>Base!G23</f>
        <v>31 Modification de la configuration IPv4 Laptop1</v>
      </c>
      <c r="C52" s="44" t="str">
        <f>A$3</f>
        <v>Prévu</v>
      </c>
      <c r="D52" s="54"/>
      <c r="E52" s="45"/>
      <c r="F52" s="54"/>
      <c r="G52" s="45"/>
      <c r="H52" s="54"/>
      <c r="I52" s="46"/>
      <c r="J52" s="55"/>
      <c r="K52" s="46"/>
      <c r="L52" s="56">
        <v>6.9444444444444441E-3</v>
      </c>
      <c r="M52" s="45"/>
      <c r="N52" s="55"/>
      <c r="O52" s="45"/>
      <c r="P52" s="56"/>
      <c r="Q52" s="45"/>
      <c r="R52" s="56"/>
      <c r="S52" s="45"/>
      <c r="T52" s="56"/>
      <c r="U52" s="47">
        <f t="shared" ref="U52:U61" si="22">IF(SUM(D52:T52)=0,"",SUM(D52:T52))</f>
        <v>6.9444444444444441E-3</v>
      </c>
    </row>
    <row r="53" spans="1:21" s="53" customFormat="1" ht="15" customHeight="1" thickBot="1" x14ac:dyDescent="0.3">
      <c r="B53" s="48"/>
      <c r="C53" s="97" t="s">
        <v>33</v>
      </c>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v>3.472222222222222E-3</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f t="shared" si="22"/>
        <v>3.472222222222222E-3</v>
      </c>
    </row>
    <row r="54" spans="1:21" ht="15" customHeight="1" x14ac:dyDescent="0.25">
      <c r="B54" s="9" t="str">
        <f>Base!G24</f>
        <v>32 Modification de la configuration IPv4 Laptop2</v>
      </c>
      <c r="C54" s="44" t="str">
        <f>A$3</f>
        <v>Prévu</v>
      </c>
      <c r="D54" s="54"/>
      <c r="E54" s="45"/>
      <c r="F54" s="54"/>
      <c r="G54" s="45"/>
      <c r="H54" s="54"/>
      <c r="I54" s="46"/>
      <c r="J54" s="55"/>
      <c r="K54" s="46"/>
      <c r="L54" s="56">
        <v>6.9444444444444441E-3</v>
      </c>
      <c r="M54" s="45"/>
      <c r="N54" s="55"/>
      <c r="O54" s="45"/>
      <c r="P54" s="56"/>
      <c r="Q54" s="45"/>
      <c r="R54" s="56"/>
      <c r="S54" s="45"/>
      <c r="T54" s="56"/>
      <c r="U54" s="47">
        <f t="shared" si="22"/>
        <v>6.9444444444444441E-3</v>
      </c>
    </row>
    <row r="55" spans="1:21" ht="15" customHeight="1" thickBot="1" x14ac:dyDescent="0.3">
      <c r="B55" s="48"/>
      <c r="C55" s="97" t="s">
        <v>31</v>
      </c>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v>3.472222222222222E-3</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f t="shared" si="22"/>
        <v>3.472222222222222E-3</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22"/>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22"/>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22"/>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22"/>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22"/>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22"/>
        <v/>
      </c>
    </row>
    <row r="62" spans="1:21" ht="15" customHeight="1" x14ac:dyDescent="0.25">
      <c r="B62" s="9" t="str">
        <f>Base!G28</f>
        <v>36 -</v>
      </c>
      <c r="C62" s="44" t="str">
        <f t="shared" ref="C62" si="23">A$3</f>
        <v>Prévu</v>
      </c>
      <c r="D62" s="54"/>
      <c r="E62" s="45"/>
      <c r="F62" s="54"/>
      <c r="G62" s="45"/>
      <c r="H62" s="54"/>
      <c r="I62" s="46"/>
      <c r="J62" s="55"/>
      <c r="K62" s="46"/>
      <c r="L62" s="56"/>
      <c r="M62" s="45"/>
      <c r="N62" s="55"/>
      <c r="O62" s="45"/>
      <c r="P62" s="56"/>
      <c r="Q62" s="45"/>
      <c r="R62" s="56"/>
      <c r="S62" s="45"/>
      <c r="T62" s="56"/>
      <c r="U62" s="47" t="str">
        <f t="shared" ref="U62:U69" si="24">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24"/>
        <v/>
      </c>
    </row>
    <row r="64" spans="1:21" ht="15" customHeight="1" x14ac:dyDescent="0.25">
      <c r="B64" s="9" t="str">
        <f>Base!G29</f>
        <v>37 -</v>
      </c>
      <c r="C64" s="44" t="str">
        <f t="shared" ref="C64" si="25">A$3</f>
        <v>Prévu</v>
      </c>
      <c r="D64" s="54"/>
      <c r="E64" s="45"/>
      <c r="F64" s="54"/>
      <c r="G64" s="45"/>
      <c r="H64" s="54"/>
      <c r="I64" s="46"/>
      <c r="J64" s="55"/>
      <c r="K64" s="46"/>
      <c r="L64" s="56"/>
      <c r="M64" s="45"/>
      <c r="N64" s="55"/>
      <c r="O64" s="45"/>
      <c r="P64" s="56"/>
      <c r="Q64" s="45"/>
      <c r="R64" s="56"/>
      <c r="S64" s="45"/>
      <c r="T64" s="56"/>
      <c r="U64" s="47" t="str">
        <f t="shared" si="24"/>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24"/>
        <v/>
      </c>
    </row>
    <row r="66" spans="1:21" ht="15" customHeight="1" x14ac:dyDescent="0.25">
      <c r="B66" s="9" t="str">
        <f>Base!G30</f>
        <v>38 -</v>
      </c>
      <c r="C66" s="44" t="str">
        <f t="shared" ref="C66" si="26">A$3</f>
        <v>Prévu</v>
      </c>
      <c r="D66" s="54"/>
      <c r="E66" s="45"/>
      <c r="F66" s="54"/>
      <c r="G66" s="45"/>
      <c r="H66" s="54"/>
      <c r="I66" s="46"/>
      <c r="J66" s="55"/>
      <c r="K66" s="46"/>
      <c r="L66" s="56"/>
      <c r="M66" s="45"/>
      <c r="N66" s="55"/>
      <c r="O66" s="45"/>
      <c r="P66" s="56"/>
      <c r="Q66" s="45"/>
      <c r="R66" s="56"/>
      <c r="S66" s="45"/>
      <c r="T66" s="56"/>
      <c r="U66" s="47" t="str">
        <f t="shared" si="24"/>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24"/>
        <v/>
      </c>
    </row>
    <row r="68" spans="1:21" ht="15" customHeight="1" x14ac:dyDescent="0.25">
      <c r="B68" s="9" t="str">
        <f>Base!G31</f>
        <v>39 -</v>
      </c>
      <c r="C68" s="44" t="str">
        <f t="shared" ref="C68" si="27">A$3</f>
        <v>Prévu</v>
      </c>
      <c r="D68" s="54"/>
      <c r="E68" s="45"/>
      <c r="F68" s="54"/>
      <c r="G68" s="45"/>
      <c r="H68" s="54"/>
      <c r="I68" s="46"/>
      <c r="J68" s="55"/>
      <c r="K68" s="46"/>
      <c r="L68" s="56"/>
      <c r="M68" s="45"/>
      <c r="N68" s="55"/>
      <c r="O68" s="45"/>
      <c r="P68" s="56"/>
      <c r="Q68" s="45"/>
      <c r="R68" s="56"/>
      <c r="S68" s="45"/>
      <c r="T68" s="56"/>
      <c r="U68" s="47" t="str">
        <f t="shared" si="24"/>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24"/>
        <v/>
      </c>
    </row>
    <row r="70" spans="1:21" ht="20.25" x14ac:dyDescent="0.25">
      <c r="A70" s="83" t="str">
        <f>Base!F33</f>
        <v>4 Configuration matériel</v>
      </c>
      <c r="B70" s="84"/>
      <c r="C70" s="84"/>
      <c r="D70" s="85"/>
      <c r="E70" s="85"/>
      <c r="F70" s="85"/>
      <c r="G70" s="85"/>
      <c r="H70" s="85"/>
      <c r="I70" s="85"/>
      <c r="J70" s="85"/>
      <c r="K70" s="85"/>
      <c r="L70" s="85"/>
      <c r="M70" s="85"/>
      <c r="N70" s="85"/>
      <c r="O70" s="85"/>
      <c r="P70" s="85"/>
      <c r="Q70" s="85"/>
      <c r="R70" s="85"/>
      <c r="S70" s="85"/>
      <c r="T70" s="85"/>
      <c r="U70" s="42">
        <f>SUMIF($C72:$C89,$C72,U72:U89)</f>
        <v>0.10416666666666666</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8.3333333333333343E-2</v>
      </c>
    </row>
    <row r="72" spans="1:21" ht="15" customHeight="1" x14ac:dyDescent="0.25">
      <c r="B72" s="9" t="str">
        <f>Base!G33</f>
        <v>41 Configuration du router dlink</v>
      </c>
      <c r="C72" s="44" t="str">
        <f>A$3</f>
        <v>Prévu</v>
      </c>
      <c r="D72" s="54"/>
      <c r="E72" s="45"/>
      <c r="F72" s="54"/>
      <c r="G72" s="45"/>
      <c r="H72" s="54"/>
      <c r="I72" s="46"/>
      <c r="J72" s="55">
        <v>4.1666666666666664E-2</v>
      </c>
      <c r="K72" s="46"/>
      <c r="L72" s="56"/>
      <c r="M72" s="45"/>
      <c r="N72" s="55"/>
      <c r="O72" s="45"/>
      <c r="P72" s="56"/>
      <c r="Q72" s="45"/>
      <c r="R72" s="56"/>
      <c r="S72" s="45"/>
      <c r="T72" s="56"/>
      <c r="U72" s="47">
        <f t="shared" ref="U72:U79" si="28">IF(SUM(D72:T72)=0,"",SUM(D72:T72))</f>
        <v>4.1666666666666664E-2</v>
      </c>
    </row>
    <row r="73" spans="1:21" ht="15" customHeight="1" thickBot="1" x14ac:dyDescent="0.3">
      <c r="B73" s="48"/>
      <c r="C73" s="97" t="s">
        <v>31</v>
      </c>
      <c r="D73" s="49">
        <f>SUMIFS(Journal!$D$4:$D$10001,Journal!$B$4:$B$10001,D$9,Journal!$C$4:$C$10001,$B72)</f>
        <v>0</v>
      </c>
      <c r="E73" s="50"/>
      <c r="F73" s="49">
        <f>SUMIFS(Journal!$D$4:$D$10001,Journal!$B$4:$B$10001,F$9,Journal!$C$4:$C$10001,$B72)</f>
        <v>0</v>
      </c>
      <c r="G73" s="50"/>
      <c r="H73" s="49">
        <f>SUMIFS(Journal!$D$4:$D$10001,Journal!$B$4:$B$10001,H$9,Journal!$C$4:$C$10001,$B72)</f>
        <v>0</v>
      </c>
      <c r="I73" s="51"/>
      <c r="J73" s="49">
        <v>5.2083333333333336E-2</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f t="shared" si="28"/>
        <v>5.2083333333333336E-2</v>
      </c>
    </row>
    <row r="74" spans="1:21" ht="15" customHeight="1" x14ac:dyDescent="0.25">
      <c r="B74" s="9" t="str">
        <f>Base!G34</f>
        <v>42 Modification du nom et adresse IPv4 des OmniTik</v>
      </c>
      <c r="C74" s="44" t="str">
        <f>A$3</f>
        <v>Prévu</v>
      </c>
      <c r="D74" s="54"/>
      <c r="E74" s="45"/>
      <c r="F74" s="54"/>
      <c r="G74" s="45"/>
      <c r="H74" s="54"/>
      <c r="I74" s="46"/>
      <c r="J74" s="55">
        <v>3.125E-2</v>
      </c>
      <c r="K74" s="46"/>
      <c r="L74" s="56"/>
      <c r="M74" s="45"/>
      <c r="N74" s="55"/>
      <c r="O74" s="45"/>
      <c r="P74" s="56"/>
      <c r="Q74" s="45"/>
      <c r="R74" s="56"/>
      <c r="S74" s="45"/>
      <c r="T74" s="56"/>
      <c r="U74" s="47">
        <f t="shared" si="28"/>
        <v>3.125E-2</v>
      </c>
    </row>
    <row r="75" spans="1:21" ht="15" customHeight="1" thickBot="1" x14ac:dyDescent="0.3">
      <c r="B75" s="48"/>
      <c r="C75" s="97" t="s">
        <v>31</v>
      </c>
      <c r="D75" s="49">
        <f>SUMIFS(Journal!$D$4:$D$10001,Journal!$B$4:$B$10001,D$9,Journal!$C$4:$C$10001,$B74)</f>
        <v>0</v>
      </c>
      <c r="E75" s="50"/>
      <c r="F75" s="49">
        <f>SUMIFS(Journal!$D$4:$D$10001,Journal!$B$4:$B$10001,F$9,Journal!$C$4:$C$10001,$B74)</f>
        <v>0</v>
      </c>
      <c r="G75" s="50"/>
      <c r="H75" s="49">
        <f>SUMIFS(Journal!$D$4:$D$10001,Journal!$B$4:$B$10001,H$9,Journal!$C$4:$C$10001,$B74)</f>
        <v>0</v>
      </c>
      <c r="I75" s="51"/>
      <c r="J75" s="49">
        <v>3.125E-2</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f t="shared" si="28"/>
        <v>3.125E-2</v>
      </c>
    </row>
    <row r="76" spans="1:21" ht="15" customHeight="1" x14ac:dyDescent="0.25">
      <c r="B76" s="9" t="str">
        <f>Base!G35</f>
        <v>43 Modification du nom et adresse IPv4 des SXT</v>
      </c>
      <c r="C76" s="44" t="str">
        <f>A$3</f>
        <v>Prévu</v>
      </c>
      <c r="D76" s="54"/>
      <c r="E76" s="45"/>
      <c r="F76" s="54"/>
      <c r="G76" s="45"/>
      <c r="H76" s="54"/>
      <c r="I76" s="46"/>
      <c r="J76" s="55">
        <v>3.125E-2</v>
      </c>
      <c r="K76" s="46"/>
      <c r="L76" s="56"/>
      <c r="M76" s="45"/>
      <c r="N76" s="55"/>
      <c r="O76" s="45"/>
      <c r="P76" s="56"/>
      <c r="Q76" s="45"/>
      <c r="R76" s="56"/>
      <c r="S76" s="45"/>
      <c r="T76" s="56"/>
      <c r="U76" s="47">
        <f t="shared" si="28"/>
        <v>3.125E-2</v>
      </c>
    </row>
    <row r="77" spans="1:21" ht="15" customHeight="1" thickBot="1" x14ac:dyDescent="0.3">
      <c r="B77" s="48"/>
      <c r="C77" s="97" t="s">
        <v>33</v>
      </c>
      <c r="D77" s="49">
        <f>SUMIFS(Journal!$D$4:$D$10001,Journal!$B$4:$B$10001,D$9,Journal!$C$4:$C$10001,$B76)</f>
        <v>0</v>
      </c>
      <c r="E77" s="50"/>
      <c r="F77" s="49">
        <f>SUMIFS(Journal!$D$4:$D$10001,Journal!$B$4:$B$10001,F$9,Journal!$C$4:$C$10001,$B76)</f>
        <v>0</v>
      </c>
      <c r="G77" s="50"/>
      <c r="H77" s="49">
        <f>SUMIFS(Journal!$D$4:$D$10001,Journal!$B$4:$B$10001,H$9,Journal!$C$4:$C$10001,$B76)</f>
        <v>0</v>
      </c>
      <c r="I77" s="51"/>
      <c r="J77" s="49">
        <v>3.125E-2</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f t="shared" si="28"/>
        <v>3.125E-2</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8"/>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8"/>
        <v/>
      </c>
    </row>
    <row r="80" spans="1:21" ht="15" customHeight="1" x14ac:dyDescent="0.25">
      <c r="B80" s="9" t="str">
        <f>Base!G37</f>
        <v>45 -</v>
      </c>
      <c r="C80" s="44" t="str">
        <f t="shared" ref="C80" si="29">A$3</f>
        <v>Prévu</v>
      </c>
      <c r="D80" s="54"/>
      <c r="E80" s="45"/>
      <c r="F80" s="54"/>
      <c r="G80" s="45"/>
      <c r="H80" s="54"/>
      <c r="I80" s="46"/>
      <c r="J80" s="55"/>
      <c r="K80" s="46"/>
      <c r="L80" s="56"/>
      <c r="M80" s="45"/>
      <c r="N80" s="55"/>
      <c r="O80" s="45"/>
      <c r="P80" s="56"/>
      <c r="Q80" s="45"/>
      <c r="R80" s="56"/>
      <c r="S80" s="45"/>
      <c r="T80" s="56"/>
      <c r="U80" s="47" t="str">
        <f t="shared" ref="U80:U89" si="30">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30"/>
        <v/>
      </c>
    </row>
    <row r="82" spans="1:21" ht="15" customHeight="1" x14ac:dyDescent="0.25">
      <c r="B82" s="9" t="str">
        <f>Base!G38</f>
        <v>46 -</v>
      </c>
      <c r="C82" s="44" t="str">
        <f t="shared" ref="C82" si="31">A$3</f>
        <v>Prévu</v>
      </c>
      <c r="D82" s="54"/>
      <c r="E82" s="45"/>
      <c r="F82" s="54"/>
      <c r="G82" s="45"/>
      <c r="H82" s="54"/>
      <c r="I82" s="46"/>
      <c r="J82" s="55"/>
      <c r="K82" s="46"/>
      <c r="L82" s="56"/>
      <c r="M82" s="45"/>
      <c r="N82" s="55"/>
      <c r="O82" s="45"/>
      <c r="P82" s="56"/>
      <c r="Q82" s="45"/>
      <c r="R82" s="56"/>
      <c r="S82" s="45"/>
      <c r="T82" s="56"/>
      <c r="U82" s="47" t="str">
        <f t="shared" si="30"/>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30"/>
        <v/>
      </c>
    </row>
    <row r="84" spans="1:21" ht="15" customHeight="1" x14ac:dyDescent="0.25">
      <c r="B84" s="9" t="str">
        <f>Base!G39</f>
        <v>47 -</v>
      </c>
      <c r="C84" s="44" t="str">
        <f t="shared" ref="C84" si="32">A$3</f>
        <v>Prévu</v>
      </c>
      <c r="D84" s="54"/>
      <c r="E84" s="45"/>
      <c r="F84" s="54"/>
      <c r="G84" s="45"/>
      <c r="H84" s="54"/>
      <c r="I84" s="46"/>
      <c r="J84" s="55"/>
      <c r="K84" s="46"/>
      <c r="L84" s="56"/>
      <c r="M84" s="45"/>
      <c r="N84" s="55"/>
      <c r="O84" s="45"/>
      <c r="P84" s="56"/>
      <c r="Q84" s="45"/>
      <c r="R84" s="56"/>
      <c r="S84" s="45"/>
      <c r="T84" s="56"/>
      <c r="U84" s="47" t="str">
        <f t="shared" si="30"/>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30"/>
        <v/>
      </c>
    </row>
    <row r="86" spans="1:21" ht="15" customHeight="1" x14ac:dyDescent="0.25">
      <c r="B86" s="9" t="str">
        <f>Base!G40</f>
        <v>48 -</v>
      </c>
      <c r="C86" s="44" t="str">
        <f t="shared" ref="C86" si="33">A$3</f>
        <v>Prévu</v>
      </c>
      <c r="D86" s="54"/>
      <c r="E86" s="45"/>
      <c r="F86" s="54"/>
      <c r="G86" s="45"/>
      <c r="H86" s="54"/>
      <c r="I86" s="46"/>
      <c r="J86" s="55"/>
      <c r="K86" s="46"/>
      <c r="L86" s="56"/>
      <c r="M86" s="45"/>
      <c r="N86" s="55"/>
      <c r="O86" s="45"/>
      <c r="P86" s="56"/>
      <c r="Q86" s="45"/>
      <c r="R86" s="56"/>
      <c r="S86" s="45"/>
      <c r="T86" s="56"/>
      <c r="U86" s="47" t="str">
        <f t="shared" si="30"/>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30"/>
        <v/>
      </c>
    </row>
    <row r="88" spans="1:21" ht="15" customHeight="1" x14ac:dyDescent="0.25">
      <c r="B88" s="9" t="str">
        <f>Base!G41</f>
        <v>49 -</v>
      </c>
      <c r="C88" s="44" t="str">
        <f t="shared" ref="C88" si="34">A$3</f>
        <v>Prévu</v>
      </c>
      <c r="D88" s="54"/>
      <c r="E88" s="45"/>
      <c r="F88" s="54"/>
      <c r="G88" s="45"/>
      <c r="H88" s="54"/>
      <c r="I88" s="46"/>
      <c r="J88" s="55"/>
      <c r="K88" s="46"/>
      <c r="L88" s="56"/>
      <c r="M88" s="45"/>
      <c r="N88" s="55"/>
      <c r="O88" s="45"/>
      <c r="P88" s="56"/>
      <c r="Q88" s="45"/>
      <c r="R88" s="56"/>
      <c r="S88" s="45"/>
      <c r="T88" s="56"/>
      <c r="U88" s="47" t="str">
        <f t="shared" si="30"/>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30"/>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8.3333333333333329E-2</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8.3333333333333329E-2</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8.3333333333333329E-2</v>
      </c>
    </row>
    <row r="94" spans="1:21" ht="15" customHeight="1" x14ac:dyDescent="0.25">
      <c r="B94" s="9" t="str">
        <f>Base!G43</f>
        <v>52 Configuration BYOD</v>
      </c>
      <c r="C94" s="44" t="str">
        <f>A$3</f>
        <v>Prévu</v>
      </c>
      <c r="D94" s="54" t="s">
        <v>85</v>
      </c>
      <c r="E94" s="45"/>
      <c r="F94" s="54"/>
      <c r="G94" s="45"/>
      <c r="H94" s="54"/>
      <c r="I94" s="46"/>
      <c r="J94" s="55"/>
      <c r="K94" s="46"/>
      <c r="L94" s="56"/>
      <c r="M94" s="45"/>
      <c r="N94" s="55"/>
      <c r="O94" s="45"/>
      <c r="P94" s="56"/>
      <c r="Q94" s="45"/>
      <c r="R94" s="56"/>
      <c r="S94" s="45"/>
      <c r="T94" s="56"/>
      <c r="U94" s="47" t="str">
        <f t="shared" ref="U94:U109" si="35">IF(SUM(D94:T94)=0,"",SUM(D94:T94))</f>
        <v/>
      </c>
    </row>
    <row r="95" spans="1:21" ht="15" customHeight="1" thickBot="1" x14ac:dyDescent="0.3">
      <c r="B95" s="48"/>
      <c r="C95" s="97" t="s">
        <v>29</v>
      </c>
      <c r="D95" s="49" t="s">
        <v>86</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t="str">
        <f t="shared" si="35"/>
        <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35"/>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35"/>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35"/>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35"/>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35"/>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35"/>
        <v/>
      </c>
    </row>
    <row r="102" spans="2:21" ht="15" customHeight="1" x14ac:dyDescent="0.25">
      <c r="B102" s="9" t="str">
        <f>Base!G47</f>
        <v>56 -</v>
      </c>
      <c r="C102" s="44" t="str">
        <f t="shared" ref="C102" si="36">A$3</f>
        <v>Prévu</v>
      </c>
      <c r="D102" s="54"/>
      <c r="E102" s="45"/>
      <c r="F102" s="54"/>
      <c r="G102" s="45"/>
      <c r="H102" s="54"/>
      <c r="I102" s="46"/>
      <c r="J102" s="55"/>
      <c r="K102" s="46"/>
      <c r="L102" s="56"/>
      <c r="M102" s="45"/>
      <c r="N102" s="55"/>
      <c r="O102" s="45"/>
      <c r="P102" s="56"/>
      <c r="Q102" s="45"/>
      <c r="R102" s="56"/>
      <c r="S102" s="45"/>
      <c r="T102" s="56"/>
      <c r="U102" s="47" t="str">
        <f t="shared" si="35"/>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35"/>
        <v/>
      </c>
    </row>
    <row r="104" spans="2:21" ht="15" customHeight="1" x14ac:dyDescent="0.25">
      <c r="B104" s="9" t="str">
        <f>Base!G48</f>
        <v>57 -</v>
      </c>
      <c r="C104" s="44" t="str">
        <f t="shared" ref="C104" si="37">A$3</f>
        <v>Prévu</v>
      </c>
      <c r="D104" s="54"/>
      <c r="E104" s="45"/>
      <c r="F104" s="54"/>
      <c r="G104" s="45"/>
      <c r="H104" s="54"/>
      <c r="I104" s="46"/>
      <c r="J104" s="55"/>
      <c r="K104" s="46"/>
      <c r="L104" s="56"/>
      <c r="M104" s="45"/>
      <c r="N104" s="55"/>
      <c r="O104" s="45"/>
      <c r="P104" s="56"/>
      <c r="Q104" s="45"/>
      <c r="R104" s="56"/>
      <c r="S104" s="45"/>
      <c r="T104" s="56"/>
      <c r="U104" s="47" t="str">
        <f t="shared" si="35"/>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35"/>
        <v/>
      </c>
    </row>
    <row r="106" spans="2:21" ht="15" customHeight="1" x14ac:dyDescent="0.25">
      <c r="B106" s="9" t="str">
        <f>Base!G49</f>
        <v>58 -</v>
      </c>
      <c r="C106" s="44" t="str">
        <f t="shared" ref="C106" si="38">A$3</f>
        <v>Prévu</v>
      </c>
      <c r="D106" s="54"/>
      <c r="E106" s="45"/>
      <c r="F106" s="54"/>
      <c r="G106" s="45"/>
      <c r="H106" s="54"/>
      <c r="I106" s="46"/>
      <c r="J106" s="55"/>
      <c r="K106" s="46"/>
      <c r="L106" s="56"/>
      <c r="M106" s="45"/>
      <c r="N106" s="55"/>
      <c r="O106" s="45"/>
      <c r="P106" s="56"/>
      <c r="Q106" s="45"/>
      <c r="R106" s="56"/>
      <c r="S106" s="45"/>
      <c r="T106" s="56"/>
      <c r="U106" s="47" t="str">
        <f t="shared" si="35"/>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35"/>
        <v/>
      </c>
    </row>
    <row r="108" spans="2:21" ht="15" customHeight="1" x14ac:dyDescent="0.25">
      <c r="B108" s="9" t="str">
        <f>Base!G50</f>
        <v>59 -</v>
      </c>
      <c r="C108" s="44" t="str">
        <f t="shared" ref="C108" si="39">A$3</f>
        <v>Prévu</v>
      </c>
      <c r="D108" s="54"/>
      <c r="E108" s="45"/>
      <c r="F108" s="54"/>
      <c r="G108" s="45"/>
      <c r="H108" s="54"/>
      <c r="I108" s="46"/>
      <c r="J108" s="55"/>
      <c r="K108" s="46"/>
      <c r="L108" s="56"/>
      <c r="M108" s="45"/>
      <c r="N108" s="55"/>
      <c r="O108" s="45"/>
      <c r="P108" s="56"/>
      <c r="Q108" s="45"/>
      <c r="R108" s="56"/>
      <c r="S108" s="45"/>
      <c r="T108" s="56"/>
      <c r="U108" s="47" t="str">
        <f t="shared" si="35"/>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35"/>
        <v/>
      </c>
    </row>
  </sheetData>
  <sheetProtection selectLockedCells="1"/>
  <conditionalFormatting sqref="B3">
    <cfRule type="colorScale" priority="1567">
      <colorScale>
        <cfvo type="num" val="1"/>
        <cfvo type="num" val="100000"/>
        <color theme="0" tint="-0.14999847407452621"/>
        <color theme="0" tint="-0.14999847407452621"/>
      </colorScale>
    </cfRule>
  </conditionalFormatting>
  <conditionalFormatting sqref="E4:E8 G4:G8 I4:I8 K4:K8 M4:M8 O4:O8 Q4:Q8 S4:S8">
    <cfRule type="cellIs" dxfId="265" priority="1558" stopIfTrue="1" operator="greaterThan">
      <formula>0</formula>
    </cfRule>
  </conditionalFormatting>
  <conditionalFormatting sqref="D3">
    <cfRule type="colorScale" priority="1471">
      <colorScale>
        <cfvo type="num" val="1"/>
        <cfvo type="num" val="100000"/>
        <color theme="0" tint="-0.14999847407452621"/>
        <color theme="0" tint="-0.14999847407452621"/>
      </colorScale>
    </cfRule>
  </conditionalFormatting>
  <conditionalFormatting sqref="D4:D8">
    <cfRule type="cellIs" dxfId="264" priority="1469" stopIfTrue="1" operator="greaterThan">
      <formula>0</formula>
    </cfRule>
  </conditionalFormatting>
  <conditionalFormatting sqref="D12:T12 D18:T18">
    <cfRule type="cellIs" dxfId="263" priority="961" operator="greaterThan">
      <formula>0</formula>
    </cfRule>
  </conditionalFormatting>
  <conditionalFormatting sqref="D13:T13 D15:T15 D17:T17 D19:T19 D21:U21 D23:U23 D25:U25 D27:U27 D29:U29">
    <cfRule type="cellIs" dxfId="262" priority="949" operator="greaterThan">
      <formula>0</formula>
    </cfRule>
  </conditionalFormatting>
  <conditionalFormatting sqref="F3">
    <cfRule type="colorScale" priority="740">
      <colorScale>
        <cfvo type="num" val="1"/>
        <cfvo type="num" val="100000"/>
        <color theme="0" tint="-0.14999847407452621"/>
        <color theme="0" tint="-0.14999847407452621"/>
      </colorScale>
    </cfRule>
  </conditionalFormatting>
  <conditionalFormatting sqref="F4:F8">
    <cfRule type="cellIs" dxfId="261" priority="739" stopIfTrue="1" operator="greaterThan">
      <formula>0</formula>
    </cfRule>
  </conditionalFormatting>
  <conditionalFormatting sqref="H3">
    <cfRule type="colorScale" priority="737">
      <colorScale>
        <cfvo type="num" val="1"/>
        <cfvo type="num" val="100000"/>
        <color theme="0" tint="-0.14999847407452621"/>
        <color theme="0" tint="-0.14999847407452621"/>
      </colorScale>
    </cfRule>
  </conditionalFormatting>
  <conditionalFormatting sqref="H4:H8">
    <cfRule type="cellIs" dxfId="260" priority="736" stopIfTrue="1" operator="greaterThan">
      <formula>0</formula>
    </cfRule>
  </conditionalFormatting>
  <conditionalFormatting sqref="J3">
    <cfRule type="colorScale" priority="734">
      <colorScale>
        <cfvo type="num" val="1"/>
        <cfvo type="num" val="100000"/>
        <color theme="0" tint="-0.14999847407452621"/>
        <color theme="0" tint="-0.14999847407452621"/>
      </colorScale>
    </cfRule>
  </conditionalFormatting>
  <conditionalFormatting sqref="J4:J8">
    <cfRule type="cellIs" dxfId="259" priority="733" stopIfTrue="1" operator="greaterThan">
      <formula>0</formula>
    </cfRule>
  </conditionalFormatting>
  <conditionalFormatting sqref="L3">
    <cfRule type="colorScale" priority="731">
      <colorScale>
        <cfvo type="num" val="1"/>
        <cfvo type="num" val="100000"/>
        <color theme="0" tint="-0.14999847407452621"/>
        <color theme="0" tint="-0.14999847407452621"/>
      </colorScale>
    </cfRule>
  </conditionalFormatting>
  <conditionalFormatting sqref="L4:L8">
    <cfRule type="cellIs" dxfId="258" priority="730" stopIfTrue="1" operator="greaterThan">
      <formula>0</formula>
    </cfRule>
  </conditionalFormatting>
  <conditionalFormatting sqref="N3">
    <cfRule type="colorScale" priority="728">
      <colorScale>
        <cfvo type="num" val="1"/>
        <cfvo type="num" val="100000"/>
        <color theme="0" tint="-0.14999847407452621"/>
        <color theme="0" tint="-0.14999847407452621"/>
      </colorScale>
    </cfRule>
  </conditionalFormatting>
  <conditionalFormatting sqref="N4:N8">
    <cfRule type="cellIs" dxfId="257" priority="727" stopIfTrue="1" operator="greaterThan">
      <formula>0</formula>
    </cfRule>
  </conditionalFormatting>
  <conditionalFormatting sqref="P3">
    <cfRule type="colorScale" priority="725">
      <colorScale>
        <cfvo type="num" val="1"/>
        <cfvo type="num" val="100000"/>
        <color theme="0" tint="-0.14999847407452621"/>
        <color theme="0" tint="-0.14999847407452621"/>
      </colorScale>
    </cfRule>
  </conditionalFormatting>
  <conditionalFormatting sqref="P4:P8">
    <cfRule type="cellIs" dxfId="256" priority="724" stopIfTrue="1" operator="greaterThan">
      <formula>0</formula>
    </cfRule>
  </conditionalFormatting>
  <conditionalFormatting sqref="R3">
    <cfRule type="colorScale" priority="722">
      <colorScale>
        <cfvo type="num" val="1"/>
        <cfvo type="num" val="100000"/>
        <color theme="0" tint="-0.14999847407452621"/>
        <color theme="0" tint="-0.14999847407452621"/>
      </colorScale>
    </cfRule>
  </conditionalFormatting>
  <conditionalFormatting sqref="R4:R8">
    <cfRule type="cellIs" dxfId="255" priority="721" stopIfTrue="1" operator="greaterThan">
      <formula>0</formula>
    </cfRule>
  </conditionalFormatting>
  <conditionalFormatting sqref="T3">
    <cfRule type="colorScale" priority="719">
      <colorScale>
        <cfvo type="num" val="1"/>
        <cfvo type="num" val="100000"/>
        <color theme="0" tint="-0.14999847407452621"/>
        <color theme="0" tint="-0.14999847407452621"/>
      </colorScale>
    </cfRule>
  </conditionalFormatting>
  <conditionalFormatting sqref="T4:T8">
    <cfRule type="cellIs" dxfId="254" priority="718" stopIfTrue="1" operator="greaterThan">
      <formula>0</formula>
    </cfRule>
  </conditionalFormatting>
  <conditionalFormatting sqref="U12 U14 U16 U18">
    <cfRule type="cellIs" dxfId="253" priority="533" operator="greaterThan">
      <formula>0</formula>
    </cfRule>
  </conditionalFormatting>
  <conditionalFormatting sqref="U13 U15 U17 U19">
    <cfRule type="cellIs" dxfId="252" priority="532"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1" priority="481" operator="greaterThan">
      <formula>0</formula>
    </cfRule>
  </conditionalFormatting>
  <conditionalFormatting sqref="U93 U79 U77 U75 U73 U61 U59 U57 U55 U53 U41 U39 U37 U35 U33 U43 U45 U47 U49 U67 U65 U63 U69 U81 U83 U85 U87 U89 U95 U97 U99 U101 U103 U105 U107 U109">
    <cfRule type="cellIs" dxfId="250" priority="480" operator="greaterThan">
      <formula>0</formula>
    </cfRule>
  </conditionalFormatting>
  <conditionalFormatting sqref="D14:T14">
    <cfRule type="cellIs" dxfId="249" priority="430" operator="greaterThan">
      <formula>0</formula>
    </cfRule>
  </conditionalFormatting>
  <conditionalFormatting sqref="D16:T16">
    <cfRule type="cellIs" dxfId="248" priority="429" operator="greaterThan">
      <formula>0</formula>
    </cfRule>
  </conditionalFormatting>
  <conditionalFormatting sqref="D20:T20 D22:T22 D24:T24 D26:T26 D28:T28">
    <cfRule type="cellIs" dxfId="247" priority="428" operator="greaterThan">
      <formula>0</formula>
    </cfRule>
  </conditionalFormatting>
  <conditionalFormatting sqref="D32:T32 D38:T38">
    <cfRule type="cellIs" dxfId="246" priority="403" operator="greaterThan">
      <formula>0</formula>
    </cfRule>
  </conditionalFormatting>
  <conditionalFormatting sqref="D33:T33 D35:T35 D37:T37 D39:T39">
    <cfRule type="cellIs" dxfId="245" priority="402" operator="greaterThan">
      <formula>0</formula>
    </cfRule>
  </conditionalFormatting>
  <conditionalFormatting sqref="D41:T41 D43:T43 D45:T45 D47:T47 D49:T49">
    <cfRule type="cellIs" dxfId="244" priority="401" operator="greaterThan">
      <formula>0</formula>
    </cfRule>
  </conditionalFormatting>
  <conditionalFormatting sqref="D34:T34">
    <cfRule type="cellIs" dxfId="243" priority="400" operator="greaterThan">
      <formula>0</formula>
    </cfRule>
  </conditionalFormatting>
  <conditionalFormatting sqref="D36:T36">
    <cfRule type="cellIs" dxfId="242" priority="399" operator="greaterThan">
      <formula>0</formula>
    </cfRule>
  </conditionalFormatting>
  <conditionalFormatting sqref="D40:T40 D42:T42 D44:T44 D46:T46 D48:T48">
    <cfRule type="cellIs" dxfId="241" priority="398" operator="greaterThan">
      <formula>0</formula>
    </cfRule>
  </conditionalFormatting>
  <conditionalFormatting sqref="D52:T52 D58:T58 D64:T64">
    <cfRule type="cellIs" dxfId="240" priority="397" operator="greaterThan">
      <formula>0</formula>
    </cfRule>
  </conditionalFormatting>
  <conditionalFormatting sqref="D53:T53 D55:T55 D57:T57 D59:T59 D63:T63 D69:T69 D65:T65">
    <cfRule type="cellIs" dxfId="239" priority="396" operator="greaterThan">
      <formula>0</formula>
    </cfRule>
  </conditionalFormatting>
  <conditionalFormatting sqref="D61:T61 D67:T67">
    <cfRule type="cellIs" dxfId="238" priority="395" operator="greaterThan">
      <formula>0</formula>
    </cfRule>
  </conditionalFormatting>
  <conditionalFormatting sqref="D54:T54">
    <cfRule type="cellIs" dxfId="237" priority="394" operator="greaterThan">
      <formula>0</formula>
    </cfRule>
  </conditionalFormatting>
  <conditionalFormatting sqref="D56:T56 D62:T62 D68:T68">
    <cfRule type="cellIs" dxfId="236" priority="393" operator="greaterThan">
      <formula>0</formula>
    </cfRule>
  </conditionalFormatting>
  <conditionalFormatting sqref="D60:T60 D66:T66">
    <cfRule type="cellIs" dxfId="235" priority="392" operator="greaterThan">
      <formula>0</formula>
    </cfRule>
  </conditionalFormatting>
  <conditionalFormatting sqref="D72:T72 D78:T78 D80:T80 D82:T82 D84:T84 D86:T86 D88:T88">
    <cfRule type="cellIs" dxfId="234" priority="391" operator="greaterThan">
      <formula>0</formula>
    </cfRule>
  </conditionalFormatting>
  <conditionalFormatting sqref="D73:T73 D75:T75 D77:T77 D79:T79 D81:T81 D83:T83 D85:T85 D87:T87 D89:T89">
    <cfRule type="cellIs" dxfId="233" priority="390" operator="greaterThan">
      <formula>0</formula>
    </cfRule>
  </conditionalFormatting>
  <conditionalFormatting sqref="D74:T74">
    <cfRule type="cellIs" dxfId="232" priority="388" operator="greaterThan">
      <formula>0</formula>
    </cfRule>
  </conditionalFormatting>
  <conditionalFormatting sqref="D76:T76">
    <cfRule type="cellIs" dxfId="231" priority="387" operator="greaterThan">
      <formula>0</formula>
    </cfRule>
  </conditionalFormatting>
  <conditionalFormatting sqref="D92:T92 D98:T98">
    <cfRule type="cellIs" dxfId="230" priority="385" operator="greaterThan">
      <formula>0</formula>
    </cfRule>
  </conditionalFormatting>
  <conditionalFormatting sqref="D93:T93 D95:T95 D97:T97 D99:T99">
    <cfRule type="cellIs" dxfId="229" priority="384" operator="greaterThan">
      <formula>0</formula>
    </cfRule>
  </conditionalFormatting>
  <conditionalFormatting sqref="D101:T101 D103:T103 D105:T105 D107:T107 D109:T109">
    <cfRule type="cellIs" dxfId="228" priority="383" operator="greaterThan">
      <formula>0</formula>
    </cfRule>
  </conditionalFormatting>
  <conditionalFormatting sqref="D94:T94">
    <cfRule type="cellIs" dxfId="227" priority="382" operator="greaterThan">
      <formula>0</formula>
    </cfRule>
  </conditionalFormatting>
  <conditionalFormatting sqref="D96:T96">
    <cfRule type="cellIs" dxfId="226" priority="381" operator="greaterThan">
      <formula>0</formula>
    </cfRule>
  </conditionalFormatting>
  <conditionalFormatting sqref="D100:T100 D102:T102 D104:T104 D106:T106 D108:T108">
    <cfRule type="cellIs" dxfId="225" priority="380" operator="greaterThan">
      <formula>0</formula>
    </cfRule>
  </conditionalFormatting>
  <conditionalFormatting sqref="C13">
    <cfRule type="containsText" dxfId="224" priority="361" operator="containsText" text="Koetschet">
      <formula>NOT(ISERROR(SEARCH("Koetschet",C13)))</formula>
    </cfRule>
    <cfRule type="containsText" dxfId="223" priority="362" operator="containsText" text="Gumy">
      <formula>NOT(ISERROR(SEARCH("Gumy",C13)))</formula>
    </cfRule>
    <cfRule type="containsText" dxfId="222" priority="363" operator="containsText" text="Moser">
      <formula>NOT(ISERROR(SEARCH("Moser",C13)))</formula>
    </cfRule>
    <cfRule type="containsText" dxfId="221" priority="366" operator="containsText" text="Mayor">
      <formula>NOT(ISERROR(SEARCH("Mayor",C13)))</formula>
    </cfRule>
    <cfRule type="containsText" dxfId="220" priority="379" operator="containsText" text="Martin-Penalosa">
      <formula>NOT(ISERROR(SEARCH("Martin-Penalosa",C13)))</formula>
    </cfRule>
  </conditionalFormatting>
  <conditionalFormatting sqref="C15">
    <cfRule type="containsText" dxfId="219" priority="356" operator="containsText" text="Koetschet">
      <formula>NOT(ISERROR(SEARCH("Koetschet",C15)))</formula>
    </cfRule>
    <cfRule type="containsText" dxfId="218" priority="357" operator="containsText" text="Gumy">
      <formula>NOT(ISERROR(SEARCH("Gumy",C15)))</formula>
    </cfRule>
    <cfRule type="containsText" dxfId="217" priority="358" operator="containsText" text="Moser">
      <formula>NOT(ISERROR(SEARCH("Moser",C15)))</formula>
    </cfRule>
    <cfRule type="containsText" dxfId="216" priority="359" operator="containsText" text="Mayor">
      <formula>NOT(ISERROR(SEARCH("Mayor",C15)))</formula>
    </cfRule>
    <cfRule type="containsText" dxfId="215" priority="360" operator="containsText" text="Martin-Penalosa">
      <formula>NOT(ISERROR(SEARCH("Martin-Penalosa",C15)))</formula>
    </cfRule>
  </conditionalFormatting>
  <conditionalFormatting sqref="C23">
    <cfRule type="containsText" dxfId="214" priority="196" operator="containsText" text="Koetschet">
      <formula>NOT(ISERROR(SEARCH("Koetschet",C23)))</formula>
    </cfRule>
    <cfRule type="containsText" dxfId="213" priority="197" operator="containsText" text="Gumy">
      <formula>NOT(ISERROR(SEARCH("Gumy",C23)))</formula>
    </cfRule>
    <cfRule type="containsText" dxfId="212" priority="198" operator="containsText" text="Moser">
      <formula>NOT(ISERROR(SEARCH("Moser",C23)))</formula>
    </cfRule>
    <cfRule type="containsText" dxfId="211" priority="199" operator="containsText" text="Mayor">
      <formula>NOT(ISERROR(SEARCH("Mayor",C23)))</formula>
    </cfRule>
    <cfRule type="containsText" dxfId="210" priority="200" operator="containsText" text="Martin-Penalosa">
      <formula>NOT(ISERROR(SEARCH("Martin-Penalosa",C23)))</formula>
    </cfRule>
  </conditionalFormatting>
  <conditionalFormatting sqref="C29">
    <cfRule type="containsText" dxfId="209" priority="181" operator="containsText" text="Koetschet">
      <formula>NOT(ISERROR(SEARCH("Koetschet",C29)))</formula>
    </cfRule>
    <cfRule type="containsText" dxfId="208" priority="182" operator="containsText" text="Gumy">
      <formula>NOT(ISERROR(SEARCH("Gumy",C29)))</formula>
    </cfRule>
    <cfRule type="containsText" dxfId="207" priority="183" operator="containsText" text="Moser">
      <formula>NOT(ISERROR(SEARCH("Moser",C29)))</formula>
    </cfRule>
    <cfRule type="containsText" dxfId="206" priority="184" operator="containsText" text="Mayor">
      <formula>NOT(ISERROR(SEARCH("Mayor",C29)))</formula>
    </cfRule>
    <cfRule type="containsText" dxfId="205" priority="185" operator="containsText" text="Martin-Penalosa">
      <formula>NOT(ISERROR(SEARCH("Martin-Penalosa",C29)))</formula>
    </cfRule>
  </conditionalFormatting>
  <conditionalFormatting sqref="C17">
    <cfRule type="containsText" dxfId="204" priority="211" operator="containsText" text="Koetschet">
      <formula>NOT(ISERROR(SEARCH("Koetschet",C17)))</formula>
    </cfRule>
    <cfRule type="containsText" dxfId="203" priority="212" operator="containsText" text="Gumy">
      <formula>NOT(ISERROR(SEARCH("Gumy",C17)))</formula>
    </cfRule>
    <cfRule type="containsText" dxfId="202" priority="213" operator="containsText" text="Moser">
      <formula>NOT(ISERROR(SEARCH("Moser",C17)))</formula>
    </cfRule>
    <cfRule type="containsText" dxfId="201" priority="214" operator="containsText" text="Mayor">
      <formula>NOT(ISERROR(SEARCH("Mayor",C17)))</formula>
    </cfRule>
    <cfRule type="containsText" dxfId="200" priority="215" operator="containsText" text="Martin-Penalosa">
      <formula>NOT(ISERROR(SEARCH("Martin-Penalosa",C17)))</formula>
    </cfRule>
  </conditionalFormatting>
  <conditionalFormatting sqref="C43">
    <cfRule type="containsText" dxfId="199" priority="151" operator="containsText" text="Koetschet">
      <formula>NOT(ISERROR(SEARCH("Koetschet",C43)))</formula>
    </cfRule>
    <cfRule type="containsText" dxfId="198" priority="152" operator="containsText" text="Gumy">
      <formula>NOT(ISERROR(SEARCH("Gumy",C43)))</formula>
    </cfRule>
    <cfRule type="containsText" dxfId="197" priority="153" operator="containsText" text="Moser">
      <formula>NOT(ISERROR(SEARCH("Moser",C43)))</formula>
    </cfRule>
    <cfRule type="containsText" dxfId="196" priority="154" operator="containsText" text="Mayor">
      <formula>NOT(ISERROR(SEARCH("Mayor",C43)))</formula>
    </cfRule>
    <cfRule type="containsText" dxfId="195" priority="155" operator="containsText" text="Martin-Penalosa">
      <formula>NOT(ISERROR(SEARCH("Martin-Penalosa",C43)))</formula>
    </cfRule>
  </conditionalFormatting>
  <conditionalFormatting sqref="C49">
    <cfRule type="containsText" dxfId="194" priority="136" operator="containsText" text="Koetschet">
      <formula>NOT(ISERROR(SEARCH("Koetschet",C49)))</formula>
    </cfRule>
    <cfRule type="containsText" dxfId="193" priority="137" operator="containsText" text="Gumy">
      <formula>NOT(ISERROR(SEARCH("Gumy",C49)))</formula>
    </cfRule>
    <cfRule type="containsText" dxfId="192" priority="138" operator="containsText" text="Moser">
      <formula>NOT(ISERROR(SEARCH("Moser",C49)))</formula>
    </cfRule>
    <cfRule type="containsText" dxfId="191" priority="139" operator="containsText" text="Mayor">
      <formula>NOT(ISERROR(SEARCH("Mayor",C49)))</formula>
    </cfRule>
    <cfRule type="containsText" dxfId="190" priority="140" operator="containsText" text="Martin-Penalosa">
      <formula>NOT(ISERROR(SEARCH("Martin-Penalosa",C49)))</formula>
    </cfRule>
  </conditionalFormatting>
  <conditionalFormatting sqref="C19">
    <cfRule type="containsText" dxfId="189" priority="206" operator="containsText" text="Koetschet">
      <formula>NOT(ISERROR(SEARCH("Koetschet",C19)))</formula>
    </cfRule>
    <cfRule type="containsText" dxfId="188" priority="207" operator="containsText" text="Gumy">
      <formula>NOT(ISERROR(SEARCH("Gumy",C19)))</formula>
    </cfRule>
    <cfRule type="containsText" dxfId="187" priority="208" operator="containsText" text="Moser">
      <formula>NOT(ISERROR(SEARCH("Moser",C19)))</formula>
    </cfRule>
    <cfRule type="containsText" dxfId="186" priority="209" operator="containsText" text="Mayor">
      <formula>NOT(ISERROR(SEARCH("Mayor",C19)))</formula>
    </cfRule>
    <cfRule type="containsText" dxfId="185" priority="210" operator="containsText" text="Martin-Penalosa">
      <formula>NOT(ISERROR(SEARCH("Martin-Penalosa",C19)))</formula>
    </cfRule>
  </conditionalFormatting>
  <conditionalFormatting sqref="C37">
    <cfRule type="containsText" dxfId="184" priority="166" operator="containsText" text="Koetschet">
      <formula>NOT(ISERROR(SEARCH("Koetschet",C37)))</formula>
    </cfRule>
    <cfRule type="containsText" dxfId="183" priority="167" operator="containsText" text="Gumy">
      <formula>NOT(ISERROR(SEARCH("Gumy",C37)))</formula>
    </cfRule>
    <cfRule type="containsText" dxfId="182" priority="168" operator="containsText" text="Moser">
      <formula>NOT(ISERROR(SEARCH("Moser",C37)))</formula>
    </cfRule>
    <cfRule type="containsText" dxfId="181" priority="169" operator="containsText" text="Mayor">
      <formula>NOT(ISERROR(SEARCH("Mayor",C37)))</formula>
    </cfRule>
    <cfRule type="containsText" dxfId="180" priority="170" operator="containsText" text="Martin-Penalosa">
      <formula>NOT(ISERROR(SEARCH("Martin-Penalosa",C37)))</formula>
    </cfRule>
  </conditionalFormatting>
  <conditionalFormatting sqref="C35">
    <cfRule type="containsText" dxfId="179" priority="171" operator="containsText" text="Koetschet">
      <formula>NOT(ISERROR(SEARCH("Koetschet",C35)))</formula>
    </cfRule>
    <cfRule type="containsText" dxfId="178" priority="172" operator="containsText" text="Gumy">
      <formula>NOT(ISERROR(SEARCH("Gumy",C35)))</formula>
    </cfRule>
    <cfRule type="containsText" dxfId="177" priority="173" operator="containsText" text="Moser">
      <formula>NOT(ISERROR(SEARCH("Moser",C35)))</formula>
    </cfRule>
    <cfRule type="containsText" dxfId="176" priority="174" operator="containsText" text="Mayor">
      <formula>NOT(ISERROR(SEARCH("Mayor",C35)))</formula>
    </cfRule>
    <cfRule type="containsText" dxfId="175" priority="175" operator="containsText" text="Martin-Penalosa">
      <formula>NOT(ISERROR(SEARCH("Martin-Penalosa",C35)))</formula>
    </cfRule>
  </conditionalFormatting>
  <conditionalFormatting sqref="C21">
    <cfRule type="containsText" dxfId="174" priority="201" operator="containsText" text="Koetschet">
      <formula>NOT(ISERROR(SEARCH("Koetschet",C21)))</formula>
    </cfRule>
    <cfRule type="containsText" dxfId="173" priority="202" operator="containsText" text="Gumy">
      <formula>NOT(ISERROR(SEARCH("Gumy",C21)))</formula>
    </cfRule>
    <cfRule type="containsText" dxfId="172" priority="203" operator="containsText" text="Moser">
      <formula>NOT(ISERROR(SEARCH("Moser",C21)))</formula>
    </cfRule>
    <cfRule type="containsText" dxfId="171" priority="204" operator="containsText" text="Mayor">
      <formula>NOT(ISERROR(SEARCH("Mayor",C21)))</formula>
    </cfRule>
    <cfRule type="containsText" dxfId="170" priority="205" operator="containsText" text="Martin-Penalosa">
      <formula>NOT(ISERROR(SEARCH("Martin-Penalosa",C21)))</formula>
    </cfRule>
  </conditionalFormatting>
  <conditionalFormatting sqref="C25">
    <cfRule type="containsText" dxfId="169" priority="191" operator="containsText" text="Koetschet">
      <formula>NOT(ISERROR(SEARCH("Koetschet",C25)))</formula>
    </cfRule>
    <cfRule type="containsText" dxfId="168" priority="192" operator="containsText" text="Gumy">
      <formula>NOT(ISERROR(SEARCH("Gumy",C25)))</formula>
    </cfRule>
    <cfRule type="containsText" dxfId="167" priority="193" operator="containsText" text="Moser">
      <formula>NOT(ISERROR(SEARCH("Moser",C25)))</formula>
    </cfRule>
    <cfRule type="containsText" dxfId="166" priority="194" operator="containsText" text="Mayor">
      <formula>NOT(ISERROR(SEARCH("Mayor",C25)))</formula>
    </cfRule>
    <cfRule type="containsText" dxfId="165" priority="195" operator="containsText" text="Martin-Penalosa">
      <formula>NOT(ISERROR(SEARCH("Martin-Penalosa",C25)))</formula>
    </cfRule>
  </conditionalFormatting>
  <conditionalFormatting sqref="C39">
    <cfRule type="containsText" dxfId="164" priority="161" operator="containsText" text="Koetschet">
      <formula>NOT(ISERROR(SEARCH("Koetschet",C39)))</formula>
    </cfRule>
    <cfRule type="containsText" dxfId="163" priority="162" operator="containsText" text="Gumy">
      <formula>NOT(ISERROR(SEARCH("Gumy",C39)))</formula>
    </cfRule>
    <cfRule type="containsText" dxfId="162" priority="163" operator="containsText" text="Moser">
      <formula>NOT(ISERROR(SEARCH("Moser",C39)))</formula>
    </cfRule>
    <cfRule type="containsText" dxfId="161" priority="164" operator="containsText" text="Mayor">
      <formula>NOT(ISERROR(SEARCH("Mayor",C39)))</formula>
    </cfRule>
    <cfRule type="containsText" dxfId="160" priority="165" operator="containsText" text="Martin-Penalosa">
      <formula>NOT(ISERROR(SEARCH("Martin-Penalosa",C39)))</formula>
    </cfRule>
  </conditionalFormatting>
  <conditionalFormatting sqref="C41">
    <cfRule type="containsText" dxfId="159" priority="156" operator="containsText" text="Koetschet">
      <formula>NOT(ISERROR(SEARCH("Koetschet",C41)))</formula>
    </cfRule>
    <cfRule type="containsText" dxfId="158" priority="157" operator="containsText" text="Gumy">
      <formula>NOT(ISERROR(SEARCH("Gumy",C41)))</formula>
    </cfRule>
    <cfRule type="containsText" dxfId="157" priority="158" operator="containsText" text="Moser">
      <formula>NOT(ISERROR(SEARCH("Moser",C41)))</formula>
    </cfRule>
    <cfRule type="containsText" dxfId="156" priority="159" operator="containsText" text="Mayor">
      <formula>NOT(ISERROR(SEARCH("Mayor",C41)))</formula>
    </cfRule>
    <cfRule type="containsText" dxfId="155" priority="160" operator="containsText" text="Martin-Penalosa">
      <formula>NOT(ISERROR(SEARCH("Martin-Penalosa",C41)))</formula>
    </cfRule>
  </conditionalFormatting>
  <conditionalFormatting sqref="C45">
    <cfRule type="containsText" dxfId="154" priority="146" operator="containsText" text="Koetschet">
      <formula>NOT(ISERROR(SEARCH("Koetschet",C45)))</formula>
    </cfRule>
    <cfRule type="containsText" dxfId="153" priority="147" operator="containsText" text="Gumy">
      <formula>NOT(ISERROR(SEARCH("Gumy",C45)))</formula>
    </cfRule>
    <cfRule type="containsText" dxfId="152" priority="148" operator="containsText" text="Moser">
      <formula>NOT(ISERROR(SEARCH("Moser",C45)))</formula>
    </cfRule>
    <cfRule type="containsText" dxfId="151" priority="149" operator="containsText" text="Mayor">
      <formula>NOT(ISERROR(SEARCH("Mayor",C45)))</formula>
    </cfRule>
    <cfRule type="containsText" dxfId="150" priority="150" operator="containsText" text="Martin-Penalosa">
      <formula>NOT(ISERROR(SEARCH("Martin-Penalosa",C45)))</formula>
    </cfRule>
  </conditionalFormatting>
  <conditionalFormatting sqref="C27">
    <cfRule type="containsText" dxfId="149" priority="186" operator="containsText" text="Koetschet">
      <formula>NOT(ISERROR(SEARCH("Koetschet",C27)))</formula>
    </cfRule>
    <cfRule type="containsText" dxfId="148" priority="187" operator="containsText" text="Gumy">
      <formula>NOT(ISERROR(SEARCH("Gumy",C27)))</formula>
    </cfRule>
    <cfRule type="containsText" dxfId="147" priority="188" operator="containsText" text="Moser">
      <formula>NOT(ISERROR(SEARCH("Moser",C27)))</formula>
    </cfRule>
    <cfRule type="containsText" dxfId="146" priority="189" operator="containsText" text="Mayor">
      <formula>NOT(ISERROR(SEARCH("Mayor",C27)))</formula>
    </cfRule>
    <cfRule type="containsText" dxfId="145" priority="190" operator="containsText" text="Martin-Penalosa">
      <formula>NOT(ISERROR(SEARCH("Martin-Penalosa",C27)))</formula>
    </cfRule>
  </conditionalFormatting>
  <conditionalFormatting sqref="C33">
    <cfRule type="containsText" dxfId="144" priority="176" operator="containsText" text="Koetschet">
      <formula>NOT(ISERROR(SEARCH("Koetschet",C33)))</formula>
    </cfRule>
    <cfRule type="containsText" dxfId="143" priority="177" operator="containsText" text="Gumy">
      <formula>NOT(ISERROR(SEARCH("Gumy",C33)))</formula>
    </cfRule>
    <cfRule type="containsText" dxfId="142" priority="178" operator="containsText" text="Moser">
      <formula>NOT(ISERROR(SEARCH("Moser",C33)))</formula>
    </cfRule>
    <cfRule type="containsText" dxfId="141" priority="179" operator="containsText" text="Mayor">
      <formula>NOT(ISERROR(SEARCH("Mayor",C33)))</formula>
    </cfRule>
    <cfRule type="containsText" dxfId="140" priority="180" operator="containsText" text="Martin-Penalosa">
      <formula>NOT(ISERROR(SEARCH("Martin-Penalosa",C33)))</formula>
    </cfRule>
  </conditionalFormatting>
  <conditionalFormatting sqref="C57">
    <cfRule type="containsText" dxfId="139" priority="121" operator="containsText" text="Koetschet">
      <formula>NOT(ISERROR(SEARCH("Koetschet",C57)))</formula>
    </cfRule>
    <cfRule type="containsText" dxfId="138" priority="122" operator="containsText" text="Gumy">
      <formula>NOT(ISERROR(SEARCH("Gumy",C57)))</formula>
    </cfRule>
    <cfRule type="containsText" dxfId="137" priority="123" operator="containsText" text="Moser">
      <formula>NOT(ISERROR(SEARCH("Moser",C57)))</formula>
    </cfRule>
    <cfRule type="containsText" dxfId="136" priority="124" operator="containsText" text="Mayor">
      <formula>NOT(ISERROR(SEARCH("Mayor",C57)))</formula>
    </cfRule>
    <cfRule type="containsText" dxfId="135" priority="125" operator="containsText" text="Martin-Penalosa">
      <formula>NOT(ISERROR(SEARCH("Martin-Penalosa",C57)))</formula>
    </cfRule>
  </conditionalFormatting>
  <conditionalFormatting sqref="C47">
    <cfRule type="containsText" dxfId="134" priority="141" operator="containsText" text="Koetschet">
      <formula>NOT(ISERROR(SEARCH("Koetschet",C47)))</formula>
    </cfRule>
    <cfRule type="containsText" dxfId="133" priority="142" operator="containsText" text="Gumy">
      <formula>NOT(ISERROR(SEARCH("Gumy",C47)))</formula>
    </cfRule>
    <cfRule type="containsText" dxfId="132" priority="143" operator="containsText" text="Moser">
      <formula>NOT(ISERROR(SEARCH("Moser",C47)))</formula>
    </cfRule>
    <cfRule type="containsText" dxfId="131" priority="144" operator="containsText" text="Mayor">
      <formula>NOT(ISERROR(SEARCH("Mayor",C47)))</formula>
    </cfRule>
    <cfRule type="containsText" dxfId="130" priority="145" operator="containsText" text="Martin-Penalosa">
      <formula>NOT(ISERROR(SEARCH("Martin-Penalosa",C47)))</formula>
    </cfRule>
  </conditionalFormatting>
  <conditionalFormatting sqref="C69">
    <cfRule type="containsText" dxfId="129" priority="91" operator="containsText" text="Koetschet">
      <formula>NOT(ISERROR(SEARCH("Koetschet",C69)))</formula>
    </cfRule>
    <cfRule type="containsText" dxfId="128" priority="92" operator="containsText" text="Gumy">
      <formula>NOT(ISERROR(SEARCH("Gumy",C69)))</formula>
    </cfRule>
    <cfRule type="containsText" dxfId="127" priority="93" operator="containsText" text="Moser">
      <formula>NOT(ISERROR(SEARCH("Moser",C69)))</formula>
    </cfRule>
    <cfRule type="containsText" dxfId="126" priority="94" operator="containsText" text="Mayor">
      <formula>NOT(ISERROR(SEARCH("Mayor",C69)))</formula>
    </cfRule>
    <cfRule type="containsText" dxfId="125" priority="95" operator="containsText" text="Martin-Penalosa">
      <formula>NOT(ISERROR(SEARCH("Martin-Penalosa",C69)))</formula>
    </cfRule>
  </conditionalFormatting>
  <conditionalFormatting sqref="C53">
    <cfRule type="containsText" dxfId="124" priority="131" operator="containsText" text="Koetschet">
      <formula>NOT(ISERROR(SEARCH("Koetschet",C53)))</formula>
    </cfRule>
    <cfRule type="containsText" dxfId="123" priority="132" operator="containsText" text="Gumy">
      <formula>NOT(ISERROR(SEARCH("Gumy",C53)))</formula>
    </cfRule>
    <cfRule type="containsText" dxfId="122" priority="133" operator="containsText" text="Moser">
      <formula>NOT(ISERROR(SEARCH("Moser",C53)))</formula>
    </cfRule>
    <cfRule type="containsText" dxfId="121" priority="134" operator="containsText" text="Mayor">
      <formula>NOT(ISERROR(SEARCH("Mayor",C53)))</formula>
    </cfRule>
    <cfRule type="containsText" dxfId="120" priority="135" operator="containsText" text="Martin-Penalosa">
      <formula>NOT(ISERROR(SEARCH("Martin-Penalosa",C53)))</formula>
    </cfRule>
  </conditionalFormatting>
  <conditionalFormatting sqref="C55">
    <cfRule type="containsText" dxfId="119" priority="126" operator="containsText" text="Koetschet">
      <formula>NOT(ISERROR(SEARCH("Koetschet",C55)))</formula>
    </cfRule>
    <cfRule type="containsText" dxfId="118" priority="127" operator="containsText" text="Gumy">
      <formula>NOT(ISERROR(SEARCH("Gumy",C55)))</formula>
    </cfRule>
    <cfRule type="containsText" dxfId="117" priority="128" operator="containsText" text="Moser">
      <formula>NOT(ISERROR(SEARCH("Moser",C55)))</formula>
    </cfRule>
    <cfRule type="containsText" dxfId="116" priority="129" operator="containsText" text="Mayor">
      <formula>NOT(ISERROR(SEARCH("Mayor",C55)))</formula>
    </cfRule>
    <cfRule type="containsText" dxfId="115" priority="130" operator="containsText" text="Martin-Penalosa">
      <formula>NOT(ISERROR(SEARCH("Martin-Penalosa",C55)))</formula>
    </cfRule>
  </conditionalFormatting>
  <conditionalFormatting sqref="C59">
    <cfRule type="containsText" dxfId="114" priority="116" operator="containsText" text="Koetschet">
      <formula>NOT(ISERROR(SEARCH("Koetschet",C59)))</formula>
    </cfRule>
    <cfRule type="containsText" dxfId="113" priority="117" operator="containsText" text="Gumy">
      <formula>NOT(ISERROR(SEARCH("Gumy",C59)))</formula>
    </cfRule>
    <cfRule type="containsText" dxfId="112" priority="118" operator="containsText" text="Moser">
      <formula>NOT(ISERROR(SEARCH("Moser",C59)))</formula>
    </cfRule>
    <cfRule type="containsText" dxfId="111" priority="119" operator="containsText" text="Mayor">
      <formula>NOT(ISERROR(SEARCH("Mayor",C59)))</formula>
    </cfRule>
    <cfRule type="containsText" dxfId="110" priority="120" operator="containsText" text="Martin-Penalosa">
      <formula>NOT(ISERROR(SEARCH("Martin-Penalosa",C59)))</formula>
    </cfRule>
  </conditionalFormatting>
  <conditionalFormatting sqref="C61">
    <cfRule type="containsText" dxfId="109" priority="111" operator="containsText" text="Koetschet">
      <formula>NOT(ISERROR(SEARCH("Koetschet",C61)))</formula>
    </cfRule>
    <cfRule type="containsText" dxfId="108" priority="112" operator="containsText" text="Gumy">
      <formula>NOT(ISERROR(SEARCH("Gumy",C61)))</formula>
    </cfRule>
    <cfRule type="containsText" dxfId="107" priority="113" operator="containsText" text="Moser">
      <formula>NOT(ISERROR(SEARCH("Moser",C61)))</formula>
    </cfRule>
    <cfRule type="containsText" dxfId="106" priority="114" operator="containsText" text="Mayor">
      <formula>NOT(ISERROR(SEARCH("Mayor",C61)))</formula>
    </cfRule>
    <cfRule type="containsText" dxfId="105" priority="115" operator="containsText" text="Martin-Penalosa">
      <formula>NOT(ISERROR(SEARCH("Martin-Penalosa",C61)))</formula>
    </cfRule>
  </conditionalFormatting>
  <conditionalFormatting sqref="C63">
    <cfRule type="containsText" dxfId="104" priority="106" operator="containsText" text="Koetschet">
      <formula>NOT(ISERROR(SEARCH("Koetschet",C63)))</formula>
    </cfRule>
    <cfRule type="containsText" dxfId="103" priority="107" operator="containsText" text="Gumy">
      <formula>NOT(ISERROR(SEARCH("Gumy",C63)))</formula>
    </cfRule>
    <cfRule type="containsText" dxfId="102" priority="108" operator="containsText" text="Moser">
      <formula>NOT(ISERROR(SEARCH("Moser",C63)))</formula>
    </cfRule>
    <cfRule type="containsText" dxfId="101" priority="109" operator="containsText" text="Mayor">
      <formula>NOT(ISERROR(SEARCH("Mayor",C63)))</formula>
    </cfRule>
    <cfRule type="containsText" dxfId="100" priority="110" operator="containsText" text="Martin-Penalosa">
      <formula>NOT(ISERROR(SEARCH("Martin-Penalosa",C63)))</formula>
    </cfRule>
  </conditionalFormatting>
  <conditionalFormatting sqref="C65">
    <cfRule type="containsText" dxfId="99" priority="101" operator="containsText" text="Koetschet">
      <formula>NOT(ISERROR(SEARCH("Koetschet",C65)))</formula>
    </cfRule>
    <cfRule type="containsText" dxfId="98" priority="102" operator="containsText" text="Gumy">
      <formula>NOT(ISERROR(SEARCH("Gumy",C65)))</formula>
    </cfRule>
    <cfRule type="containsText" dxfId="97" priority="103" operator="containsText" text="Moser">
      <formula>NOT(ISERROR(SEARCH("Moser",C65)))</formula>
    </cfRule>
    <cfRule type="containsText" dxfId="96" priority="104" operator="containsText" text="Mayor">
      <formula>NOT(ISERROR(SEARCH("Mayor",C65)))</formula>
    </cfRule>
    <cfRule type="containsText" dxfId="95" priority="105" operator="containsText" text="Martin-Penalosa">
      <formula>NOT(ISERROR(SEARCH("Martin-Penalosa",C65)))</formula>
    </cfRule>
  </conditionalFormatting>
  <conditionalFormatting sqref="C67">
    <cfRule type="containsText" dxfId="94" priority="96" operator="containsText" text="Koetschet">
      <formula>NOT(ISERROR(SEARCH("Koetschet",C67)))</formula>
    </cfRule>
    <cfRule type="containsText" dxfId="93" priority="97" operator="containsText" text="Gumy">
      <formula>NOT(ISERROR(SEARCH("Gumy",C67)))</formula>
    </cfRule>
    <cfRule type="containsText" dxfId="92" priority="98" operator="containsText" text="Moser">
      <formula>NOT(ISERROR(SEARCH("Moser",C67)))</formula>
    </cfRule>
    <cfRule type="containsText" dxfId="91" priority="99" operator="containsText" text="Mayor">
      <formula>NOT(ISERROR(SEARCH("Mayor",C67)))</formula>
    </cfRule>
    <cfRule type="containsText" dxfId="90" priority="100" operator="containsText" text="Martin-Penalosa">
      <formula>NOT(ISERROR(SEARCH("Martin-Penalosa",C67)))</formula>
    </cfRule>
  </conditionalFormatting>
  <conditionalFormatting sqref="C73">
    <cfRule type="containsText" dxfId="89" priority="86" operator="containsText" text="Koetschet">
      <formula>NOT(ISERROR(SEARCH("Koetschet",C73)))</formula>
    </cfRule>
    <cfRule type="containsText" dxfId="88" priority="87" operator="containsText" text="Gumy">
      <formula>NOT(ISERROR(SEARCH("Gumy",C73)))</formula>
    </cfRule>
    <cfRule type="containsText" dxfId="87" priority="88" operator="containsText" text="Moser">
      <formula>NOT(ISERROR(SEARCH("Moser",C73)))</formula>
    </cfRule>
    <cfRule type="containsText" dxfId="86" priority="89" operator="containsText" text="Mayor">
      <formula>NOT(ISERROR(SEARCH("Mayor",C73)))</formula>
    </cfRule>
    <cfRule type="containsText" dxfId="85" priority="90" operator="containsText" text="Martin-Penalosa">
      <formula>NOT(ISERROR(SEARCH("Martin-Penalosa",C73)))</formula>
    </cfRule>
  </conditionalFormatting>
  <conditionalFormatting sqref="C75">
    <cfRule type="containsText" dxfId="84" priority="81" operator="containsText" text="Koetschet">
      <formula>NOT(ISERROR(SEARCH("Koetschet",C75)))</formula>
    </cfRule>
    <cfRule type="containsText" dxfId="83" priority="82" operator="containsText" text="Gumy">
      <formula>NOT(ISERROR(SEARCH("Gumy",C75)))</formula>
    </cfRule>
    <cfRule type="containsText" dxfId="82" priority="83" operator="containsText" text="Moser">
      <formula>NOT(ISERROR(SEARCH("Moser",C75)))</formula>
    </cfRule>
    <cfRule type="containsText" dxfId="81" priority="84" operator="containsText" text="Mayor">
      <formula>NOT(ISERROR(SEARCH("Mayor",C75)))</formula>
    </cfRule>
    <cfRule type="containsText" dxfId="80" priority="85" operator="containsText" text="Martin-Penalosa">
      <formula>NOT(ISERROR(SEARCH("Martin-Penalosa",C75)))</formula>
    </cfRule>
  </conditionalFormatting>
  <conditionalFormatting sqref="C77">
    <cfRule type="containsText" dxfId="79" priority="76" operator="containsText" text="Koetschet">
      <formula>NOT(ISERROR(SEARCH("Koetschet",C77)))</formula>
    </cfRule>
    <cfRule type="containsText" dxfId="78" priority="77" operator="containsText" text="Gumy">
      <formula>NOT(ISERROR(SEARCH("Gumy",C77)))</formula>
    </cfRule>
    <cfRule type="containsText" dxfId="77" priority="78" operator="containsText" text="Moser">
      <formula>NOT(ISERROR(SEARCH("Moser",C77)))</formula>
    </cfRule>
    <cfRule type="containsText" dxfId="76" priority="79" operator="containsText" text="Mayor">
      <formula>NOT(ISERROR(SEARCH("Mayor",C77)))</formula>
    </cfRule>
    <cfRule type="containsText" dxfId="75" priority="80" operator="containsText" text="Martin-Penalosa">
      <formula>NOT(ISERROR(SEARCH("Martin-Penalosa",C77)))</formula>
    </cfRule>
  </conditionalFormatting>
  <conditionalFormatting sqref="C79">
    <cfRule type="containsText" dxfId="74" priority="71" operator="containsText" text="Koetschet">
      <formula>NOT(ISERROR(SEARCH("Koetschet",C79)))</formula>
    </cfRule>
    <cfRule type="containsText" dxfId="73" priority="72" operator="containsText" text="Gumy">
      <formula>NOT(ISERROR(SEARCH("Gumy",C79)))</formula>
    </cfRule>
    <cfRule type="containsText" dxfId="72" priority="73" operator="containsText" text="Moser">
      <formula>NOT(ISERROR(SEARCH("Moser",C79)))</formula>
    </cfRule>
    <cfRule type="containsText" dxfId="71" priority="74" operator="containsText" text="Mayor">
      <formula>NOT(ISERROR(SEARCH("Mayor",C79)))</formula>
    </cfRule>
    <cfRule type="containsText" dxfId="70" priority="75" operator="containsText" text="Martin-Penalosa">
      <formula>NOT(ISERROR(SEARCH("Martin-Penalosa",C79)))</formula>
    </cfRule>
  </conditionalFormatting>
  <conditionalFormatting sqref="C81">
    <cfRule type="containsText" dxfId="69" priority="66" operator="containsText" text="Koetschet">
      <formula>NOT(ISERROR(SEARCH("Koetschet",C81)))</formula>
    </cfRule>
    <cfRule type="containsText" dxfId="68" priority="67" operator="containsText" text="Gumy">
      <formula>NOT(ISERROR(SEARCH("Gumy",C81)))</formula>
    </cfRule>
    <cfRule type="containsText" dxfId="67" priority="68" operator="containsText" text="Moser">
      <formula>NOT(ISERROR(SEARCH("Moser",C81)))</formula>
    </cfRule>
    <cfRule type="containsText" dxfId="66" priority="69" operator="containsText" text="Mayor">
      <formula>NOT(ISERROR(SEARCH("Mayor",C81)))</formula>
    </cfRule>
    <cfRule type="containsText" dxfId="65" priority="70" operator="containsText" text="Martin-Penalosa">
      <formula>NOT(ISERROR(SEARCH("Martin-Penalosa",C81)))</formula>
    </cfRule>
  </conditionalFormatting>
  <conditionalFormatting sqref="C83">
    <cfRule type="containsText" dxfId="64" priority="61" operator="containsText" text="Koetschet">
      <formula>NOT(ISERROR(SEARCH("Koetschet",C83)))</formula>
    </cfRule>
    <cfRule type="containsText" dxfId="63" priority="62" operator="containsText" text="Gumy">
      <formula>NOT(ISERROR(SEARCH("Gumy",C83)))</formula>
    </cfRule>
    <cfRule type="containsText" dxfId="62" priority="63" operator="containsText" text="Moser">
      <formula>NOT(ISERROR(SEARCH("Moser",C83)))</formula>
    </cfRule>
    <cfRule type="containsText" dxfId="61" priority="64" operator="containsText" text="Mayor">
      <formula>NOT(ISERROR(SEARCH("Mayor",C83)))</formula>
    </cfRule>
    <cfRule type="containsText" dxfId="60" priority="65" operator="containsText" text="Martin-Penalosa">
      <formula>NOT(ISERROR(SEARCH("Martin-Penalosa",C83)))</formula>
    </cfRule>
  </conditionalFormatting>
  <conditionalFormatting sqref="C85">
    <cfRule type="containsText" dxfId="59" priority="56" operator="containsText" text="Koetschet">
      <formula>NOT(ISERROR(SEARCH("Koetschet",C85)))</formula>
    </cfRule>
    <cfRule type="containsText" dxfId="58" priority="57" operator="containsText" text="Gumy">
      <formula>NOT(ISERROR(SEARCH("Gumy",C85)))</formula>
    </cfRule>
    <cfRule type="containsText" dxfId="57" priority="58" operator="containsText" text="Moser">
      <formula>NOT(ISERROR(SEARCH("Moser",C85)))</formula>
    </cfRule>
    <cfRule type="containsText" dxfId="56" priority="59" operator="containsText" text="Mayor">
      <formula>NOT(ISERROR(SEARCH("Mayor",C85)))</formula>
    </cfRule>
    <cfRule type="containsText" dxfId="55" priority="60" operator="containsText" text="Martin-Penalosa">
      <formula>NOT(ISERROR(SEARCH("Martin-Penalosa",C85)))</formula>
    </cfRule>
  </conditionalFormatting>
  <conditionalFormatting sqref="C87">
    <cfRule type="containsText" dxfId="54" priority="51" operator="containsText" text="Koetschet">
      <formula>NOT(ISERROR(SEARCH("Koetschet",C87)))</formula>
    </cfRule>
    <cfRule type="containsText" dxfId="53" priority="52" operator="containsText" text="Gumy">
      <formula>NOT(ISERROR(SEARCH("Gumy",C87)))</formula>
    </cfRule>
    <cfRule type="containsText" dxfId="52" priority="53" operator="containsText" text="Moser">
      <formula>NOT(ISERROR(SEARCH("Moser",C87)))</formula>
    </cfRule>
    <cfRule type="containsText" dxfId="51" priority="54" operator="containsText" text="Mayor">
      <formula>NOT(ISERROR(SEARCH("Mayor",C87)))</formula>
    </cfRule>
    <cfRule type="containsText" dxfId="50" priority="55" operator="containsText" text="Martin-Penalosa">
      <formula>NOT(ISERROR(SEARCH("Martin-Penalosa",C87)))</formula>
    </cfRule>
  </conditionalFormatting>
  <conditionalFormatting sqref="C89">
    <cfRule type="containsText" dxfId="49" priority="46" operator="containsText" text="Koetschet">
      <formula>NOT(ISERROR(SEARCH("Koetschet",C89)))</formula>
    </cfRule>
    <cfRule type="containsText" dxfId="48" priority="47" operator="containsText" text="Gumy">
      <formula>NOT(ISERROR(SEARCH("Gumy",C89)))</formula>
    </cfRule>
    <cfRule type="containsText" dxfId="47" priority="48" operator="containsText" text="Moser">
      <formula>NOT(ISERROR(SEARCH("Moser",C89)))</formula>
    </cfRule>
    <cfRule type="containsText" dxfId="46" priority="49" operator="containsText" text="Mayor">
      <formula>NOT(ISERROR(SEARCH("Mayor",C89)))</formula>
    </cfRule>
    <cfRule type="containsText" dxfId="45" priority="50" operator="containsText" text="Martin-Penalosa">
      <formula>NOT(ISERROR(SEARCH("Martin-Penalosa",C89)))</formula>
    </cfRule>
  </conditionalFormatting>
  <conditionalFormatting sqref="C93">
    <cfRule type="containsText" dxfId="44" priority="41" operator="containsText" text="Koetschet">
      <formula>NOT(ISERROR(SEARCH("Koetschet",C93)))</formula>
    </cfRule>
    <cfRule type="containsText" dxfId="43" priority="42" operator="containsText" text="Gumy">
      <formula>NOT(ISERROR(SEARCH("Gumy",C93)))</formula>
    </cfRule>
    <cfRule type="containsText" dxfId="42" priority="43" operator="containsText" text="Moser">
      <formula>NOT(ISERROR(SEARCH("Moser",C93)))</formula>
    </cfRule>
    <cfRule type="containsText" dxfId="41" priority="44" operator="containsText" text="Mayor">
      <formula>NOT(ISERROR(SEARCH("Mayor",C93)))</formula>
    </cfRule>
    <cfRule type="containsText" dxfId="40" priority="45" operator="containsText" text="Martin-Penalosa">
      <formula>NOT(ISERROR(SEARCH("Martin-Penalosa",C93)))</formula>
    </cfRule>
  </conditionalFormatting>
  <conditionalFormatting sqref="C95">
    <cfRule type="containsText" dxfId="39" priority="36" operator="containsText" text="Koetschet">
      <formula>NOT(ISERROR(SEARCH("Koetschet",C95)))</formula>
    </cfRule>
    <cfRule type="containsText" dxfId="38" priority="37" operator="containsText" text="Gumy">
      <formula>NOT(ISERROR(SEARCH("Gumy",C95)))</formula>
    </cfRule>
    <cfRule type="containsText" dxfId="37" priority="38" operator="containsText" text="Moser">
      <formula>NOT(ISERROR(SEARCH("Moser",C95)))</formula>
    </cfRule>
    <cfRule type="containsText" dxfId="36" priority="39" operator="containsText" text="Mayor">
      <formula>NOT(ISERROR(SEARCH("Mayor",C95)))</formula>
    </cfRule>
    <cfRule type="containsText" dxfId="35" priority="40" operator="containsText" text="Martin-Penalosa">
      <formula>NOT(ISERROR(SEARCH("Martin-Penalosa",C95)))</formula>
    </cfRule>
  </conditionalFormatting>
  <conditionalFormatting sqref="C97">
    <cfRule type="containsText" dxfId="34" priority="31" operator="containsText" text="Koetschet">
      <formula>NOT(ISERROR(SEARCH("Koetschet",C97)))</formula>
    </cfRule>
    <cfRule type="containsText" dxfId="33" priority="32" operator="containsText" text="Gumy">
      <formula>NOT(ISERROR(SEARCH("Gumy",C97)))</formula>
    </cfRule>
    <cfRule type="containsText" dxfId="32" priority="33" operator="containsText" text="Moser">
      <formula>NOT(ISERROR(SEARCH("Moser",C97)))</formula>
    </cfRule>
    <cfRule type="containsText" dxfId="31" priority="34" operator="containsText" text="Mayor">
      <formula>NOT(ISERROR(SEARCH("Mayor",C97)))</formula>
    </cfRule>
    <cfRule type="containsText" dxfId="30" priority="35" operator="containsText" text="Martin-Penalosa">
      <formula>NOT(ISERROR(SEARCH("Martin-Penalosa",C97)))</formula>
    </cfRule>
  </conditionalFormatting>
  <conditionalFormatting sqref="C99">
    <cfRule type="containsText" dxfId="29" priority="26" operator="containsText" text="Koetschet">
      <formula>NOT(ISERROR(SEARCH("Koetschet",C99)))</formula>
    </cfRule>
    <cfRule type="containsText" dxfId="28" priority="27" operator="containsText" text="Gumy">
      <formula>NOT(ISERROR(SEARCH("Gumy",C99)))</formula>
    </cfRule>
    <cfRule type="containsText" dxfId="27" priority="28" operator="containsText" text="Moser">
      <formula>NOT(ISERROR(SEARCH("Moser",C99)))</formula>
    </cfRule>
    <cfRule type="containsText" dxfId="26" priority="29" operator="containsText" text="Mayor">
      <formula>NOT(ISERROR(SEARCH("Mayor",C99)))</formula>
    </cfRule>
    <cfRule type="containsText" dxfId="25" priority="30" operator="containsText" text="Martin-Penalosa">
      <formula>NOT(ISERROR(SEARCH("Martin-Penalosa",C99)))</formula>
    </cfRule>
  </conditionalFormatting>
  <conditionalFormatting sqref="C101">
    <cfRule type="containsText" dxfId="24" priority="21" operator="containsText" text="Koetschet">
      <formula>NOT(ISERROR(SEARCH("Koetschet",C101)))</formula>
    </cfRule>
    <cfRule type="containsText" dxfId="23" priority="22" operator="containsText" text="Gumy">
      <formula>NOT(ISERROR(SEARCH("Gumy",C101)))</formula>
    </cfRule>
    <cfRule type="containsText" dxfId="22" priority="23" operator="containsText" text="Moser">
      <formula>NOT(ISERROR(SEARCH("Moser",C101)))</formula>
    </cfRule>
    <cfRule type="containsText" dxfId="21" priority="24" operator="containsText" text="Mayor">
      <formula>NOT(ISERROR(SEARCH("Mayor",C101)))</formula>
    </cfRule>
    <cfRule type="containsText" dxfId="20" priority="25" operator="containsText" text="Martin-Penalosa">
      <formula>NOT(ISERROR(SEARCH("Martin-Penalosa",C101)))</formula>
    </cfRule>
  </conditionalFormatting>
  <conditionalFormatting sqref="C103">
    <cfRule type="containsText" dxfId="19" priority="16" operator="containsText" text="Koetschet">
      <formula>NOT(ISERROR(SEARCH("Koetschet",C103)))</formula>
    </cfRule>
    <cfRule type="containsText" dxfId="18" priority="17" operator="containsText" text="Gumy">
      <formula>NOT(ISERROR(SEARCH("Gumy",C103)))</formula>
    </cfRule>
    <cfRule type="containsText" dxfId="17" priority="18" operator="containsText" text="Moser">
      <formula>NOT(ISERROR(SEARCH("Moser",C103)))</formula>
    </cfRule>
    <cfRule type="containsText" dxfId="16" priority="19" operator="containsText" text="Mayor">
      <formula>NOT(ISERROR(SEARCH("Mayor",C103)))</formula>
    </cfRule>
    <cfRule type="containsText" dxfId="15" priority="20" operator="containsText" text="Martin-Penalosa">
      <formula>NOT(ISERROR(SEARCH("Martin-Penalosa",C103)))</formula>
    </cfRule>
  </conditionalFormatting>
  <conditionalFormatting sqref="C105">
    <cfRule type="containsText" dxfId="14" priority="11" operator="containsText" text="Koetschet">
      <formula>NOT(ISERROR(SEARCH("Koetschet",C105)))</formula>
    </cfRule>
    <cfRule type="containsText" dxfId="13" priority="12" operator="containsText" text="Gumy">
      <formula>NOT(ISERROR(SEARCH("Gumy",C105)))</formula>
    </cfRule>
    <cfRule type="containsText" dxfId="12" priority="13" operator="containsText" text="Moser">
      <formula>NOT(ISERROR(SEARCH("Moser",C105)))</formula>
    </cfRule>
    <cfRule type="containsText" dxfId="11" priority="14" operator="containsText" text="Mayor">
      <formula>NOT(ISERROR(SEARCH("Mayor",C105)))</formula>
    </cfRule>
    <cfRule type="containsText" dxfId="10" priority="15" operator="containsText" text="Martin-Penalosa">
      <formula>NOT(ISERROR(SEARCH("Martin-Penalosa",C105)))</formula>
    </cfRule>
  </conditionalFormatting>
  <conditionalFormatting sqref="C107">
    <cfRule type="containsText" dxfId="9" priority="6" operator="containsText" text="Koetschet">
      <formula>NOT(ISERROR(SEARCH("Koetschet",C107)))</formula>
    </cfRule>
    <cfRule type="containsText" dxfId="8" priority="7" operator="containsText" text="Gumy">
      <formula>NOT(ISERROR(SEARCH("Gumy",C107)))</formula>
    </cfRule>
    <cfRule type="containsText" dxfId="7" priority="8" operator="containsText" text="Moser">
      <formula>NOT(ISERROR(SEARCH("Moser",C107)))</formula>
    </cfRule>
    <cfRule type="containsText" dxfId="6" priority="9" operator="containsText" text="Mayor">
      <formula>NOT(ISERROR(SEARCH("Mayor",C107)))</formula>
    </cfRule>
    <cfRule type="containsText" dxfId="5" priority="10" operator="containsText" text="Martin-Penalosa">
      <formula>NOT(ISERROR(SEARCH("Martin-Penalosa",C107)))</formula>
    </cfRule>
  </conditionalFormatting>
  <conditionalFormatting sqref="C109">
    <cfRule type="containsText" dxfId="4" priority="1" operator="containsText" text="Koetschet">
      <formula>NOT(ISERROR(SEARCH("Koetschet",C109)))</formula>
    </cfRule>
    <cfRule type="containsText" dxfId="3" priority="2" operator="containsText" text="Gumy">
      <formula>NOT(ISERROR(SEARCH("Gumy",C109)))</formula>
    </cfRule>
    <cfRule type="containsText" dxfId="2" priority="3" operator="containsText" text="Moser">
      <formula>NOT(ISERROR(SEARCH("Moser",C109)))</formula>
    </cfRule>
    <cfRule type="containsText" dxfId="1" priority="4" operator="containsText" text="Mayor">
      <formula>NOT(ISERROR(SEARCH("Mayor",C109)))</formula>
    </cfRule>
    <cfRule type="containsText" dxfId="0" priority="5" operator="containsText" text="Martin-Penalosa">
      <formula>NOT(ISERROR(SEARCH("Martin-Penalosa",C109)))</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tabSelected="1" workbookViewId="0">
      <pane ySplit="3" topLeftCell="A4" activePane="bottomLeft" state="frozen"/>
      <selection pane="bottomLeft" activeCell="D22" sqref="D22"/>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44693</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7" t="s">
        <v>50</v>
      </c>
      <c r="D4" s="62">
        <v>8.3333333333333329E-2</v>
      </c>
      <c r="E4" s="60" t="s">
        <v>70</v>
      </c>
      <c r="F4" s="62" t="s">
        <v>38</v>
      </c>
    </row>
    <row r="5" spans="1:6" ht="45" x14ac:dyDescent="0.25">
      <c r="A5" s="58">
        <v>44685</v>
      </c>
      <c r="B5" s="71">
        <f>WEEKNUM(A5,1)</f>
        <v>19</v>
      </c>
      <c r="C5" s="7" t="s">
        <v>77</v>
      </c>
      <c r="D5" s="62">
        <v>5.2083333333333336E-2</v>
      </c>
      <c r="E5" s="60" t="s">
        <v>80</v>
      </c>
      <c r="F5" s="98" t="s">
        <v>81</v>
      </c>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2021-02-01T14:42:36Z</cp:lastPrinted>
  <dcterms:created xsi:type="dcterms:W3CDTF">2015-01-22T08:10:30Z</dcterms:created>
  <dcterms:modified xsi:type="dcterms:W3CDTF">2022-05-12T13:48:47Z</dcterms:modified>
</cp:coreProperties>
</file>